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Ex3.xml" ContentType="application/vnd.ms-office.chartex+xml"/>
  <Override PartName="/xl/charts/style4.xml" ContentType="application/vnd.ms-office.chartstyle+xml"/>
  <Override PartName="/xl/charts/colors4.xml" ContentType="application/vnd.ms-office.chartcolorstyle+xml"/>
  <Override PartName="/xl/charts/chartEx4.xml" ContentType="application/vnd.ms-office.chartex+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Ex5.xml" ContentType="application/vnd.ms-office.chartex+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Ex6.xml" ContentType="application/vnd.ms-office.chartex+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2.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Ex7.xml" ContentType="application/vnd.ms-office.chartex+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3.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charts/chart4.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harts/chart5.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charts/chart6.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xml" ContentType="application/vnd.openxmlformats-officedocument.drawing+xml"/>
  <Override PartName="/xl/charts/chart7.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3.xml" ContentType="application/vnd.openxmlformats-officedocument.drawing+xml"/>
  <Override PartName="/xl/charts/chart8.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4.xml" ContentType="application/vnd.openxmlformats-officedocument.drawing+xml"/>
  <Override PartName="/xl/charts/chart9.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5.xml" ContentType="application/vnd.openxmlformats-officedocument.drawing+xml"/>
  <Override PartName="/xl/charts/chart10.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Abdul Qudus\Documents\Excel Work\Rebecca Business School\"/>
    </mc:Choice>
  </mc:AlternateContent>
  <xr:revisionPtr revIDLastSave="0" documentId="13_ncr:1_{678B4764-6325-4C0E-A0E3-A5DCFBA2D870}" xr6:coauthVersionLast="47" xr6:coauthVersionMax="47" xr10:uidLastSave="{00000000-0000-0000-0000-000000000000}"/>
  <bookViews>
    <workbookView xWindow="-108" yWindow="-108" windowWidth="23256" windowHeight="12456" activeTab="1" xr2:uid="{DBB1C2DB-5775-4DD4-8093-368BA7E7FA97}"/>
  </bookViews>
  <sheets>
    <sheet name="Raw Data" sheetId="3" r:id="rId1"/>
    <sheet name="Table of Contents" sheetId="1" r:id="rId2"/>
    <sheet name="Frequency Detail" sheetId="70" r:id="rId3"/>
    <sheet name="Categorical Distributions" sheetId="4" r:id="rId4"/>
    <sheet name="Numerical Distributions" sheetId="5" r:id="rId5"/>
    <sheet name="Histograms" sheetId="6" r:id="rId6"/>
    <sheet name="Frequency Distributions" sheetId="7" r:id="rId7"/>
    <sheet name="Mean, Median, Mode" sheetId="11" r:id="rId8"/>
    <sheet name="Skew" sheetId="13" r:id="rId9"/>
    <sheet name="Central Tendency" sheetId="14" r:id="rId10"/>
    <sheet name="Min, Max, Range" sheetId="15" r:id="rId11"/>
    <sheet name="Quartiles &amp; IQR" sheetId="16" r:id="rId12"/>
    <sheet name="Box &amp; Whisker" sheetId="17" r:id="rId13"/>
    <sheet name="Variance &amp; Std Dev" sheetId="18" r:id="rId14"/>
    <sheet name="Coefficient of Variation" sheetId="20" r:id="rId15"/>
    <sheet name="Variability" sheetId="19" r:id="rId16"/>
    <sheet name="Normal Distribution" sheetId="21" r:id="rId17"/>
    <sheet name="Z-Scores" sheetId="22" r:id="rId18"/>
    <sheet name="Empirical Rule" sheetId="23" r:id="rId19"/>
    <sheet name="Normal Distributions" sheetId="25" r:id="rId20"/>
    <sheet name="Norm.Dist" sheetId="27" r:id="rId21"/>
    <sheet name="Norm.S.Dist" sheetId="29" r:id="rId22"/>
    <sheet name="Calculating Probabilities" sheetId="28" r:id="rId23"/>
    <sheet name="Normal Curve" sheetId="26" r:id="rId24"/>
    <sheet name="Norm.Inv" sheetId="30" r:id="rId25"/>
    <sheet name="Norm.S.Inv" sheetId="31" r:id="rId26"/>
    <sheet name="Estimating Values" sheetId="32" r:id="rId27"/>
    <sheet name="Margin of Error" sheetId="33" r:id="rId28"/>
    <sheet name="Confidence Intervals (z)" sheetId="34" r:id="rId29"/>
    <sheet name="T Distribution" sheetId="35" r:id="rId30"/>
    <sheet name="Confidence Intervals (t)" sheetId="36" r:id="rId31"/>
    <sheet name="Proportions" sheetId="37" r:id="rId32"/>
    <sheet name="Confidence Intervals (p)" sheetId="38" r:id="rId33"/>
    <sheet name="Dependent Samples" sheetId="39" r:id="rId34"/>
    <sheet name="Confidence Intervals (d)" sheetId="40" r:id="rId35"/>
    <sheet name="Independent Samples" sheetId="41" r:id="rId36"/>
    <sheet name="Confidence Intervals (x1-x2)" sheetId="42" r:id="rId37"/>
    <sheet name="Confidence Intervals (p1-p2)" sheetId="43" r:id="rId38"/>
    <sheet name="P-Value" sheetId="69" r:id="rId39"/>
    <sheet name="Hypothesis Tests (Two Tail)" sheetId="48" r:id="rId40"/>
    <sheet name="One Tail Hypothesis Test" sheetId="49" r:id="rId41"/>
    <sheet name="Hypothesis Tests (p)" sheetId="51" r:id="rId42"/>
    <sheet name="Hypothesis Tests (d)" sheetId="52" r:id="rId43"/>
    <sheet name="Hypothesis Tests (x1-x2)" sheetId="53" r:id="rId44"/>
    <sheet name="Scatterplots" sheetId="54" r:id="rId45"/>
    <sheet name="Correlation" sheetId="55" r:id="rId46"/>
    <sheet name="Linear Relationships" sheetId="56" r:id="rId47"/>
    <sheet name="Linear Regression Prediction" sheetId="58" r:id="rId48"/>
    <sheet name="Linear Regression Model" sheetId="59" r:id="rId49"/>
    <sheet name="R-Squared" sheetId="61" r:id="rId50"/>
    <sheet name="Standard Error" sheetId="63" r:id="rId51"/>
    <sheet name="Hypothesis Test" sheetId="65" r:id="rId52"/>
  </sheets>
  <definedNames>
    <definedName name="_xlnm._FilterDatabase" localSheetId="22" hidden="1">'Calculating Probabilities'!$B$5:$B$100</definedName>
    <definedName name="_xlnm._FilterDatabase" localSheetId="9" hidden="1">'Central Tendency'!#REF!</definedName>
    <definedName name="_xlnm._FilterDatabase" localSheetId="51" hidden="1">'Hypothesis Test'!#REF!</definedName>
    <definedName name="_xlnm._FilterDatabase" localSheetId="43" hidden="1">'Hypothesis Tests (x1-x2)'!$A$5:$C$58</definedName>
    <definedName name="_xlnm._FilterDatabase" localSheetId="46" hidden="1">'Linear Relationships'!$B$5:$F$58</definedName>
    <definedName name="_xlnm._FilterDatabase" localSheetId="7" hidden="1">'Mean, Median, Mode'!#REF!</definedName>
    <definedName name="_xlnm._FilterDatabase" localSheetId="0" hidden="1">'Raw Data'!$A$1:$I$96</definedName>
    <definedName name="_xlnm._FilterDatabase" localSheetId="8" hidden="1">Skew!#REF!</definedName>
    <definedName name="_xlchart.v1.0" hidden="1">Histograms!$B$5</definedName>
    <definedName name="_xlchart.v1.1" hidden="1">Histograms!$B$6:$B$58</definedName>
    <definedName name="_xlchart.v1.10" hidden="1">'Box &amp; Whisker'!$C$5</definedName>
    <definedName name="_xlchart.v1.11" hidden="1">'Box &amp; Whisker'!$C$6:$C$100</definedName>
    <definedName name="_xlchart.v1.12" hidden="1">Variability!$B$6:$B$100</definedName>
    <definedName name="_xlchart.v1.13" hidden="1">Variability!$C$5</definedName>
    <definedName name="_xlchart.v1.14" hidden="1">Variability!$C$6:$C$100</definedName>
    <definedName name="_xlchart.v1.15" hidden="1">'Normal Distributions'!$B$5</definedName>
    <definedName name="_xlchart.v1.16" hidden="1">'Normal Distributions'!$B$6:$B$58</definedName>
    <definedName name="_xlchart.v1.2" hidden="1">'Frequency Distributions'!$B$5</definedName>
    <definedName name="_xlchart.v1.3" hidden="1">'Frequency Distributions'!$B$6:$B$100</definedName>
    <definedName name="_xlchart.v1.4" hidden="1">'Central Tendency'!$D$5</definedName>
    <definedName name="_xlchart.v1.5" hidden="1">'Central Tendency'!$D$6:$D$64</definedName>
    <definedName name="_xlchart.v1.6" hidden="1">'Central Tendency'!$B$5</definedName>
    <definedName name="_xlchart.v1.7" hidden="1">'Central Tendency'!$B$6:$B$41</definedName>
    <definedName name="_xlchart.v1.8" hidden="1">'Box &amp; Whisker'!$B$5</definedName>
    <definedName name="_xlchart.v1.9" hidden="1">'Box &amp; Whisker'!$B$6:$B$100</definedName>
  </definedNames>
  <calcPr calcId="191029"/>
  <pivotCaches>
    <pivotCache cacheId="0" r:id="rId53"/>
    <pivotCache cacheId="1" r:id="rId54"/>
    <pivotCache cacheId="2" r:id="rId5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 i="65" l="1"/>
  <c r="O13" i="65"/>
  <c r="O12" i="65"/>
  <c r="O10" i="63"/>
  <c r="O9" i="63"/>
  <c r="O7" i="61" a="1"/>
  <c r="O7" i="61" s="1"/>
  <c r="O6" i="61" a="1"/>
  <c r="O6" i="61" s="1"/>
  <c r="O8" i="61"/>
  <c r="Q7" i="59"/>
  <c r="N7" i="59"/>
  <c r="N6" i="59"/>
  <c r="K7" i="59"/>
  <c r="J7" i="59"/>
  <c r="L7" i="58"/>
  <c r="I7" i="58"/>
  <c r="I6" i="58"/>
  <c r="J7" i="56"/>
  <c r="K7" i="56"/>
  <c r="L7" i="56"/>
  <c r="I7" i="56"/>
  <c r="F6" i="55"/>
  <c r="U9" i="53"/>
  <c r="U6" i="53"/>
  <c r="S8" i="52"/>
  <c r="S7" i="52"/>
  <c r="S6" i="52"/>
  <c r="P8" i="52"/>
  <c r="P7" i="52"/>
  <c r="P6" i="52"/>
  <c r="E7" i="52"/>
  <c r="E8" i="52"/>
  <c r="E9" i="52"/>
  <c r="E10" i="52"/>
  <c r="E11" i="52"/>
  <c r="E12" i="52"/>
  <c r="E13" i="52"/>
  <c r="E14" i="52"/>
  <c r="E15" i="52"/>
  <c r="E16" i="52"/>
  <c r="E17" i="52"/>
  <c r="E18" i="52"/>
  <c r="E19" i="52"/>
  <c r="E20" i="52"/>
  <c r="E21" i="52"/>
  <c r="E22" i="52"/>
  <c r="E23" i="52"/>
  <c r="E24" i="52"/>
  <c r="E25" i="52"/>
  <c r="E26" i="52"/>
  <c r="E27" i="52"/>
  <c r="E28" i="52"/>
  <c r="E29" i="52"/>
  <c r="E30" i="52"/>
  <c r="E31" i="52"/>
  <c r="E32" i="52"/>
  <c r="E33" i="52"/>
  <c r="E34" i="52"/>
  <c r="E35" i="52"/>
  <c r="E36" i="52"/>
  <c r="E37" i="52"/>
  <c r="E38" i="52"/>
  <c r="E39" i="52"/>
  <c r="E40" i="52"/>
  <c r="E41" i="52"/>
  <c r="E42" i="52"/>
  <c r="E43" i="52"/>
  <c r="E44" i="52"/>
  <c r="E45" i="52"/>
  <c r="E46" i="52"/>
  <c r="E47" i="52"/>
  <c r="E48" i="52"/>
  <c r="E49" i="52"/>
  <c r="E50" i="52"/>
  <c r="E51" i="52"/>
  <c r="E52" i="52"/>
  <c r="E53" i="52"/>
  <c r="E54" i="52"/>
  <c r="E55" i="52"/>
  <c r="E56" i="52"/>
  <c r="E57" i="52"/>
  <c r="E58" i="52"/>
  <c r="E59" i="52"/>
  <c r="E60" i="52"/>
  <c r="E61" i="52"/>
  <c r="E62" i="52"/>
  <c r="E63" i="52"/>
  <c r="E64" i="52"/>
  <c r="E65" i="52"/>
  <c r="E66" i="52"/>
  <c r="E67" i="52"/>
  <c r="E68" i="52"/>
  <c r="E69" i="52"/>
  <c r="E70" i="52"/>
  <c r="E71" i="52"/>
  <c r="E72" i="52"/>
  <c r="E73" i="52"/>
  <c r="E74" i="52"/>
  <c r="E75" i="52"/>
  <c r="E76" i="52"/>
  <c r="E77" i="52"/>
  <c r="E78" i="52"/>
  <c r="E79" i="52"/>
  <c r="E80" i="52"/>
  <c r="E81" i="52"/>
  <c r="E82" i="52"/>
  <c r="E83" i="52"/>
  <c r="E84" i="52"/>
  <c r="E85" i="52"/>
  <c r="E86" i="52"/>
  <c r="E87" i="52"/>
  <c r="E88" i="52"/>
  <c r="E89" i="52"/>
  <c r="E90" i="52"/>
  <c r="E91" i="52"/>
  <c r="E92" i="52"/>
  <c r="E93" i="52"/>
  <c r="E94" i="52"/>
  <c r="E95" i="52"/>
  <c r="E96" i="52"/>
  <c r="E97" i="52"/>
  <c r="E98" i="52"/>
  <c r="E99" i="52"/>
  <c r="E100" i="52"/>
  <c r="E6" i="52"/>
  <c r="P8" i="51"/>
  <c r="P7" i="51"/>
  <c r="P6" i="51"/>
  <c r="M6" i="51"/>
  <c r="E12" i="51"/>
  <c r="E11" i="51"/>
  <c r="E8" i="51"/>
  <c r="E7" i="51"/>
  <c r="E6" i="51"/>
  <c r="Q8" i="49"/>
  <c r="Q7" i="49"/>
  <c r="Q6" i="49"/>
  <c r="P8" i="48"/>
  <c r="P7" i="48"/>
  <c r="P6" i="48"/>
  <c r="M8" i="48"/>
  <c r="M7" i="48"/>
  <c r="M6" i="48"/>
  <c r="P7" i="43"/>
  <c r="P6" i="43"/>
  <c r="M11" i="43"/>
  <c r="M10" i="43"/>
  <c r="M9" i="43"/>
  <c r="M8" i="43"/>
  <c r="M7" i="43"/>
  <c r="J6" i="43"/>
  <c r="G13" i="43"/>
  <c r="F13" i="43"/>
  <c r="G12" i="43"/>
  <c r="F12" i="43"/>
  <c r="G9" i="43"/>
  <c r="F9" i="43"/>
  <c r="G8" i="43"/>
  <c r="F8" i="43"/>
  <c r="G7" i="43"/>
  <c r="F7" i="43"/>
  <c r="P7" i="42"/>
  <c r="P6" i="42"/>
  <c r="M12" i="42"/>
  <c r="M11" i="42"/>
  <c r="M10" i="42"/>
  <c r="M9" i="42"/>
  <c r="M8" i="42"/>
  <c r="M7" i="42"/>
  <c r="J6" i="42"/>
  <c r="G11" i="42"/>
  <c r="F11" i="42"/>
  <c r="G10" i="42" a="1"/>
  <c r="G10" i="42" s="1"/>
  <c r="F10" i="42" a="1"/>
  <c r="F10" i="42" s="1"/>
  <c r="G9" i="42"/>
  <c r="F9" i="42"/>
  <c r="G8" i="42"/>
  <c r="F8" i="42"/>
  <c r="G7" i="42"/>
  <c r="F7" i="42"/>
  <c r="Q7" i="41"/>
  <c r="Q6" i="41"/>
  <c r="N12" i="41"/>
  <c r="N11" i="41"/>
  <c r="N10" i="41"/>
  <c r="N9" i="41"/>
  <c r="N8" i="41"/>
  <c r="N7" i="41"/>
  <c r="K6" i="41"/>
  <c r="H11" i="41"/>
  <c r="G11" i="41"/>
  <c r="H10" i="41"/>
  <c r="G10" i="41"/>
  <c r="H9" i="41"/>
  <c r="G9" i="41"/>
  <c r="H8" i="41"/>
  <c r="H7" i="41"/>
  <c r="G8" i="41"/>
  <c r="G7" i="41"/>
  <c r="N7" i="40"/>
  <c r="N6" i="40"/>
  <c r="K8" i="40"/>
  <c r="K7" i="40"/>
  <c r="H8" i="40"/>
  <c r="H7" i="40"/>
  <c r="E7" i="40"/>
  <c r="E8" i="40"/>
  <c r="E9" i="40"/>
  <c r="E10" i="40"/>
  <c r="E11" i="40"/>
  <c r="E12" i="40"/>
  <c r="E13" i="40"/>
  <c r="E14" i="40"/>
  <c r="E15" i="40"/>
  <c r="E16" i="40"/>
  <c r="E17" i="40"/>
  <c r="E18" i="40"/>
  <c r="E19" i="40"/>
  <c r="E20" i="40"/>
  <c r="E21" i="40"/>
  <c r="E22" i="40"/>
  <c r="E23" i="40"/>
  <c r="E24" i="40"/>
  <c r="E25" i="40"/>
  <c r="E26" i="40"/>
  <c r="E27" i="40"/>
  <c r="E28" i="40"/>
  <c r="E29" i="40"/>
  <c r="E30" i="40"/>
  <c r="E31" i="40"/>
  <c r="E32" i="40"/>
  <c r="E33" i="40"/>
  <c r="E34" i="40"/>
  <c r="E35" i="40"/>
  <c r="E36" i="40"/>
  <c r="E37" i="40"/>
  <c r="E38" i="40"/>
  <c r="E39" i="40"/>
  <c r="E40" i="40"/>
  <c r="E41" i="40"/>
  <c r="E42" i="40"/>
  <c r="E43" i="40"/>
  <c r="E44" i="40"/>
  <c r="E45" i="40"/>
  <c r="E46" i="40"/>
  <c r="E47" i="40"/>
  <c r="E48" i="40"/>
  <c r="E49" i="40"/>
  <c r="E50" i="40"/>
  <c r="E51" i="40"/>
  <c r="E52" i="40"/>
  <c r="E53" i="40"/>
  <c r="E54" i="40"/>
  <c r="E55" i="40"/>
  <c r="E56" i="40"/>
  <c r="E57" i="40"/>
  <c r="E58" i="40"/>
  <c r="E59" i="40"/>
  <c r="E60" i="40"/>
  <c r="E61" i="40"/>
  <c r="E62" i="40"/>
  <c r="E63" i="40"/>
  <c r="E64" i="40"/>
  <c r="E65" i="40"/>
  <c r="E66" i="40"/>
  <c r="E67" i="40"/>
  <c r="E68" i="40"/>
  <c r="E69" i="40"/>
  <c r="E70" i="40"/>
  <c r="E71" i="40"/>
  <c r="E72" i="40"/>
  <c r="E73" i="40"/>
  <c r="E74" i="40"/>
  <c r="E75" i="40"/>
  <c r="E76" i="40"/>
  <c r="E77" i="40"/>
  <c r="E78" i="40"/>
  <c r="E79" i="40"/>
  <c r="E80" i="40"/>
  <c r="E81" i="40"/>
  <c r="E82" i="40"/>
  <c r="E83" i="40"/>
  <c r="E84" i="40"/>
  <c r="E85" i="40"/>
  <c r="E86" i="40"/>
  <c r="E87" i="40"/>
  <c r="E88" i="40"/>
  <c r="E89" i="40"/>
  <c r="E90" i="40"/>
  <c r="E91" i="40"/>
  <c r="E92" i="40"/>
  <c r="E93" i="40"/>
  <c r="E94" i="40"/>
  <c r="E95" i="40"/>
  <c r="E96" i="40"/>
  <c r="E97" i="40"/>
  <c r="E98" i="40"/>
  <c r="E99" i="40"/>
  <c r="E100" i="40"/>
  <c r="E6" i="40"/>
  <c r="H6" i="40"/>
  <c r="N7" i="39"/>
  <c r="N6" i="39"/>
  <c r="K11" i="39"/>
  <c r="K10" i="39"/>
  <c r="K9" i="39"/>
  <c r="K8" i="39"/>
  <c r="K7" i="39"/>
  <c r="H8" i="39"/>
  <c r="H7" i="39"/>
  <c r="H6" i="39"/>
  <c r="E7" i="39"/>
  <c r="E8" i="39"/>
  <c r="E9" i="39"/>
  <c r="E10" i="39"/>
  <c r="E11" i="39"/>
  <c r="E12" i="39"/>
  <c r="E13" i="39"/>
  <c r="E14" i="39"/>
  <c r="E15" i="39"/>
  <c r="E16" i="39"/>
  <c r="E17" i="39"/>
  <c r="E18" i="39"/>
  <c r="E19" i="39"/>
  <c r="E20" i="39"/>
  <c r="E21" i="39"/>
  <c r="E22" i="39"/>
  <c r="E23" i="39"/>
  <c r="E24" i="39"/>
  <c r="E25" i="39"/>
  <c r="E26" i="39"/>
  <c r="E27" i="39"/>
  <c r="E28" i="39"/>
  <c r="E29" i="39"/>
  <c r="E30" i="39"/>
  <c r="E31" i="39"/>
  <c r="E32" i="39"/>
  <c r="E33" i="39"/>
  <c r="E34" i="39"/>
  <c r="E35" i="39"/>
  <c r="E36" i="39"/>
  <c r="E37" i="39"/>
  <c r="E38" i="39"/>
  <c r="E39" i="39"/>
  <c r="E40" i="39"/>
  <c r="E41" i="39"/>
  <c r="E42" i="39"/>
  <c r="E43" i="39"/>
  <c r="E44" i="39"/>
  <c r="E45" i="39"/>
  <c r="E46" i="39"/>
  <c r="E47" i="39"/>
  <c r="E48" i="39"/>
  <c r="E49" i="39"/>
  <c r="E50" i="39"/>
  <c r="E51" i="39"/>
  <c r="E52" i="39"/>
  <c r="E53" i="39"/>
  <c r="E54" i="39"/>
  <c r="E55" i="39"/>
  <c r="E56" i="39"/>
  <c r="E57" i="39"/>
  <c r="E58" i="39"/>
  <c r="E59" i="39"/>
  <c r="E60" i="39"/>
  <c r="E61" i="39"/>
  <c r="E62" i="39"/>
  <c r="E63" i="39"/>
  <c r="E64" i="39"/>
  <c r="E65" i="39"/>
  <c r="E66" i="39"/>
  <c r="E67" i="39"/>
  <c r="E68" i="39"/>
  <c r="E69" i="39"/>
  <c r="E70" i="39"/>
  <c r="E71" i="39"/>
  <c r="E72" i="39"/>
  <c r="E73" i="39"/>
  <c r="E74" i="39"/>
  <c r="E75" i="39"/>
  <c r="E76" i="39"/>
  <c r="E77" i="39"/>
  <c r="E78" i="39"/>
  <c r="E79" i="39"/>
  <c r="E80" i="39"/>
  <c r="E81" i="39"/>
  <c r="E82" i="39"/>
  <c r="E83" i="39"/>
  <c r="E84" i="39"/>
  <c r="E85" i="39"/>
  <c r="E86" i="39"/>
  <c r="E87" i="39"/>
  <c r="E88" i="39"/>
  <c r="E89" i="39"/>
  <c r="E90" i="39"/>
  <c r="E91" i="39"/>
  <c r="E92" i="39"/>
  <c r="E93" i="39"/>
  <c r="E94" i="39"/>
  <c r="E95" i="39"/>
  <c r="E96" i="39"/>
  <c r="E97" i="39"/>
  <c r="E98" i="39"/>
  <c r="E99" i="39"/>
  <c r="E100" i="39"/>
  <c r="E6" i="39"/>
  <c r="K7" i="38"/>
  <c r="K6" i="38"/>
  <c r="H11" i="38"/>
  <c r="H10" i="38"/>
  <c r="H9" i="38"/>
  <c r="H8" i="38"/>
  <c r="H7" i="38"/>
  <c r="E12" i="38"/>
  <c r="E11" i="38"/>
  <c r="E8" i="38"/>
  <c r="E7" i="38"/>
  <c r="K7" i="37"/>
  <c r="K6" i="37"/>
  <c r="H11" i="37"/>
  <c r="H10" i="37"/>
  <c r="H9" i="37"/>
  <c r="H8" i="37"/>
  <c r="H7" i="37"/>
  <c r="E12" i="37"/>
  <c r="E11" i="37"/>
  <c r="E8" i="37"/>
  <c r="E7" i="37"/>
  <c r="E6" i="37"/>
  <c r="E6" i="38"/>
  <c r="K7" i="36"/>
  <c r="K6" i="36"/>
  <c r="H8" i="36"/>
  <c r="H7" i="36"/>
  <c r="E8" i="36"/>
  <c r="E7" i="36"/>
  <c r="E6" i="36"/>
  <c r="K7" i="35"/>
  <c r="K6" i="35"/>
  <c r="H11" i="35"/>
  <c r="H10" i="35"/>
  <c r="H9" i="35"/>
  <c r="H8" i="35"/>
  <c r="H7" i="35"/>
  <c r="E8" i="35"/>
  <c r="E7" i="35"/>
  <c r="E6" i="35"/>
  <c r="K7" i="34"/>
  <c r="K6" i="34"/>
  <c r="H8" i="34"/>
  <c r="H7" i="34"/>
  <c r="H11" i="33"/>
  <c r="E7" i="34"/>
  <c r="E6" i="34"/>
  <c r="K7" i="33"/>
  <c r="K6" i="33"/>
  <c r="H10" i="33"/>
  <c r="H9" i="33"/>
  <c r="H8" i="33"/>
  <c r="H7" i="33"/>
  <c r="E7" i="33"/>
  <c r="E6" i="33"/>
  <c r="H8" i="32"/>
  <c r="H7" i="32"/>
  <c r="H7" i="31"/>
  <c r="H9" i="30"/>
  <c r="H8" i="30"/>
  <c r="I7" i="26"/>
  <c r="I8" i="26"/>
  <c r="I9" i="26"/>
  <c r="I10" i="26"/>
  <c r="I11" i="26"/>
  <c r="I12" i="26"/>
  <c r="I13" i="26"/>
  <c r="I14" i="26"/>
  <c r="I15" i="26"/>
  <c r="I16" i="26"/>
  <c r="I17" i="26"/>
  <c r="I18" i="26"/>
  <c r="I19" i="26"/>
  <c r="I20" i="26"/>
  <c r="I21" i="26"/>
  <c r="I22" i="26"/>
  <c r="I23" i="26"/>
  <c r="I24" i="26"/>
  <c r="I25" i="26"/>
  <c r="I26" i="26"/>
  <c r="I6" i="26"/>
  <c r="H7" i="26"/>
  <c r="H8" i="26"/>
  <c r="H9" i="26"/>
  <c r="H10" i="26"/>
  <c r="H11" i="26"/>
  <c r="H12" i="26"/>
  <c r="H13" i="26"/>
  <c r="H14" i="26"/>
  <c r="H15" i="26"/>
  <c r="H16" i="26"/>
  <c r="H17" i="26"/>
  <c r="H18" i="26"/>
  <c r="H19" i="26"/>
  <c r="H20" i="26"/>
  <c r="H21" i="26"/>
  <c r="H22" i="26"/>
  <c r="H23" i="26"/>
  <c r="H24" i="26"/>
  <c r="H25" i="26"/>
  <c r="H26" i="26"/>
  <c r="H6" i="26"/>
  <c r="H7" i="28"/>
  <c r="E8" i="29"/>
  <c r="H7" i="27"/>
  <c r="L8" i="25"/>
  <c r="M8" i="25"/>
  <c r="L7" i="25"/>
  <c r="M7" i="25"/>
  <c r="K8" i="25"/>
  <c r="K7" i="25"/>
  <c r="H7" i="25"/>
  <c r="H6" i="25"/>
  <c r="E7" i="25"/>
  <c r="E6" i="25"/>
  <c r="I10" i="23"/>
  <c r="J10" i="23"/>
  <c r="H10" i="23"/>
  <c r="I8" i="23"/>
  <c r="J8" i="23"/>
  <c r="I7" i="23"/>
  <c r="J7" i="23"/>
  <c r="H8" i="23"/>
  <c r="H7" i="23"/>
  <c r="I8" i="22"/>
  <c r="I7" i="22"/>
  <c r="K7" i="21"/>
  <c r="K6" i="21"/>
  <c r="H7" i="21"/>
  <c r="H6" i="21"/>
  <c r="F9" i="19" a="1"/>
  <c r="F9" i="19" s="1"/>
  <c r="G8" i="19"/>
  <c r="F8" i="19"/>
  <c r="G7" i="19"/>
  <c r="F7" i="19"/>
  <c r="G9" i="20"/>
  <c r="F9" i="20"/>
  <c r="G8" i="20"/>
  <c r="F8" i="20"/>
  <c r="G7" i="20"/>
  <c r="F7" i="20"/>
  <c r="G8" i="18"/>
  <c r="G7" i="18"/>
  <c r="G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6" i="18"/>
  <c r="K12" i="16"/>
  <c r="J12" i="16"/>
  <c r="K7" i="16" a="1"/>
  <c r="K7" i="16" s="1"/>
  <c r="J7" i="16" a="1"/>
  <c r="J7" i="16" s="1"/>
  <c r="G7" i="16"/>
  <c r="G8" i="16"/>
  <c r="G9" i="16"/>
  <c r="G10" i="16"/>
  <c r="G12" i="16" s="1"/>
  <c r="G11" i="16"/>
  <c r="F12" i="16"/>
  <c r="F11" i="16"/>
  <c r="F10" i="16"/>
  <c r="F9" i="16"/>
  <c r="F8" i="16"/>
  <c r="F7" i="16"/>
  <c r="G9" i="15"/>
  <c r="F9" i="15"/>
  <c r="G8" i="15"/>
  <c r="F8" i="15"/>
  <c r="G7" i="15"/>
  <c r="F7" i="15"/>
  <c r="H11" i="14"/>
  <c r="G11" i="14"/>
  <c r="H10" i="14"/>
  <c r="G10" i="14"/>
  <c r="H9" i="14"/>
  <c r="G9" i="14"/>
  <c r="H8" i="14"/>
  <c r="G8" i="14"/>
  <c r="H7" i="14"/>
  <c r="G7" i="14"/>
  <c r="E8" i="13"/>
  <c r="M9" i="11" a="1"/>
  <c r="M9" i="11" s="1"/>
  <c r="N9" i="11" a="1"/>
  <c r="N9" i="11" s="1"/>
  <c r="N8" i="11" a="1"/>
  <c r="N8" i="11" s="1"/>
  <c r="M8" i="11" a="1"/>
  <c r="M8" i="11" s="1"/>
  <c r="M7" i="11" a="1"/>
  <c r="M7" i="11" s="1"/>
  <c r="J9" i="11" a="1"/>
  <c r="J9" i="11" s="1"/>
  <c r="I9" i="11" a="1"/>
  <c r="I9" i="11" s="1"/>
  <c r="J8" i="11" a="1"/>
  <c r="J8" i="11" s="1"/>
  <c r="I8" i="11" a="1"/>
  <c r="I8" i="11" s="1"/>
  <c r="J7" i="11"/>
  <c r="I7" i="11"/>
  <c r="F8" i="11"/>
  <c r="F7" i="11"/>
  <c r="F6" i="11"/>
  <c r="J6" i="5" a="1"/>
  <c r="J6" i="5" s="1"/>
  <c r="N6" i="4" a="1"/>
  <c r="N6" i="4" s="1"/>
  <c r="M6" i="4" a="1"/>
  <c r="M6" i="4" s="1"/>
  <c r="L6" i="4" a="1"/>
  <c r="L6" i="4" s="1"/>
  <c r="J7" i="4"/>
  <c r="J6" i="4"/>
  <c r="I7" i="4"/>
  <c r="I6" i="4"/>
  <c r="E6" i="13"/>
  <c r="E7" i="13"/>
  <c r="F6" i="63" l="1"/>
  <c r="G6" i="59"/>
  <c r="G7" i="59"/>
  <c r="G8" i="59"/>
  <c r="G9" i="59"/>
  <c r="G10" i="59"/>
  <c r="G11" i="59"/>
  <c r="G12" i="59"/>
  <c r="G13" i="59"/>
  <c r="G14" i="59"/>
  <c r="G15" i="59"/>
  <c r="G16" i="59"/>
  <c r="G17" i="59"/>
  <c r="G18" i="59"/>
  <c r="G19" i="59"/>
  <c r="G20" i="59"/>
  <c r="G21" i="59"/>
  <c r="G22" i="59"/>
  <c r="G23" i="59"/>
  <c r="G24" i="59"/>
  <c r="G25" i="59"/>
  <c r="G26" i="59"/>
  <c r="G27" i="59"/>
  <c r="G28" i="59"/>
  <c r="G29" i="59"/>
  <c r="G30" i="59"/>
  <c r="G31" i="59"/>
  <c r="G32" i="59"/>
  <c r="G33" i="59"/>
  <c r="G34" i="59"/>
  <c r="G35" i="59"/>
  <c r="G36" i="59"/>
  <c r="G37" i="59"/>
  <c r="G38" i="59"/>
  <c r="G39" i="59"/>
  <c r="G40" i="59"/>
  <c r="G41" i="59"/>
  <c r="G42" i="59"/>
  <c r="G43" i="59"/>
  <c r="G44" i="59"/>
  <c r="G45" i="59"/>
  <c r="G46" i="59"/>
  <c r="G47" i="59"/>
  <c r="G48" i="59"/>
  <c r="G49" i="59"/>
  <c r="G50" i="59"/>
  <c r="G51" i="59"/>
  <c r="G52" i="59"/>
  <c r="G53" i="59"/>
  <c r="G54" i="59"/>
  <c r="G55" i="59"/>
  <c r="G56" i="59"/>
  <c r="G57" i="59"/>
  <c r="G58" i="59"/>
  <c r="G59" i="59"/>
  <c r="G60" i="59"/>
  <c r="G61" i="59"/>
  <c r="G62" i="59"/>
  <c r="G63" i="59"/>
  <c r="G64" i="59"/>
  <c r="G65" i="59"/>
  <c r="G66" i="59"/>
  <c r="G67" i="59"/>
  <c r="G68" i="59"/>
  <c r="G69" i="59"/>
  <c r="G70" i="59"/>
  <c r="G71" i="59"/>
  <c r="G72" i="59"/>
  <c r="G73" i="59"/>
  <c r="G74" i="59"/>
  <c r="G75" i="59"/>
  <c r="G76" i="59"/>
  <c r="G77" i="59"/>
  <c r="G78" i="59"/>
  <c r="G79" i="59"/>
  <c r="G80" i="59"/>
  <c r="G81" i="59"/>
  <c r="G82" i="59"/>
  <c r="G83" i="59"/>
  <c r="G84" i="59"/>
  <c r="G85" i="59"/>
  <c r="G86" i="59"/>
  <c r="G87" i="59"/>
  <c r="G88" i="59"/>
  <c r="G89" i="59"/>
  <c r="G90" i="59"/>
  <c r="G91" i="59"/>
  <c r="G92" i="59"/>
  <c r="G93" i="59"/>
  <c r="G94" i="59"/>
  <c r="G95" i="59"/>
  <c r="G96" i="59"/>
  <c r="G97" i="59"/>
  <c r="G98" i="59"/>
  <c r="G99" i="59"/>
  <c r="G100" i="59"/>
  <c r="M8" i="69" l="1"/>
  <c r="P6" i="69" s="1"/>
  <c r="M7" i="69"/>
  <c r="M6" i="69"/>
  <c r="P7" i="69" l="1"/>
  <c r="P8" i="69" s="1"/>
  <c r="E6" i="26" l="1"/>
  <c r="O10" i="65" l="1"/>
  <c r="O8" i="65"/>
  <c r="O7" i="65" a="1"/>
  <c r="O7" i="65" s="1"/>
  <c r="L7" i="65"/>
  <c r="I7" i="65"/>
  <c r="O6" i="65" a="1"/>
  <c r="O6" i="65" s="1"/>
  <c r="O9" i="65" s="1"/>
  <c r="I6" i="65"/>
  <c r="F6" i="65"/>
  <c r="O8" i="63"/>
  <c r="O7" i="63" a="1"/>
  <c r="O7" i="63" s="1"/>
  <c r="L7" i="63"/>
  <c r="I7" i="63"/>
  <c r="O6" i="63" a="1"/>
  <c r="O6" i="63" s="1"/>
  <c r="I6" i="63"/>
  <c r="L7" i="61"/>
  <c r="I7" i="61"/>
  <c r="I6" i="61"/>
  <c r="F6" i="61"/>
  <c r="F6" i="58"/>
  <c r="E7" i="32" l="1"/>
  <c r="E6" i="32"/>
  <c r="E7" i="31"/>
  <c r="E6" i="31"/>
  <c r="E7" i="30"/>
  <c r="E6" i="30"/>
  <c r="E7" i="27"/>
  <c r="E6" i="27"/>
  <c r="E7" i="28"/>
  <c r="E6" i="28"/>
  <c r="E7" i="26"/>
  <c r="E6" i="23"/>
  <c r="E7" i="23"/>
  <c r="F6" i="22"/>
  <c r="F7" i="22"/>
  <c r="I7" i="5" l="1"/>
  <c r="I8" i="5"/>
  <c r="I9" i="5"/>
  <c r="I10" i="5"/>
  <c r="I11" i="5"/>
  <c r="I12" i="5"/>
  <c r="I13" i="5"/>
  <c r="I14" i="5"/>
  <c r="I15" i="5"/>
  <c r="I16" i="5"/>
  <c r="I17" i="5"/>
  <c r="I18" i="5"/>
  <c r="I19" i="5"/>
  <c r="I6"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<sst xmlns="http://schemas.openxmlformats.org/spreadsheetml/2006/main" count="2154" uniqueCount="325">
  <si>
    <t>DESCRIPTIVE STATISTICS</t>
  </si>
  <si>
    <t>Categorical Frequency Distributions</t>
  </si>
  <si>
    <t>Numerical Frequency Distributions</t>
  </si>
  <si>
    <t>Histograms</t>
  </si>
  <si>
    <t>Mean, Median, Mode</t>
  </si>
  <si>
    <t>Skew</t>
  </si>
  <si>
    <t>Min, Max, and Range</t>
  </si>
  <si>
    <t>Quartiles &amp; Interquartile Range</t>
  </si>
  <si>
    <t>Box &amp; Whisker Plots</t>
  </si>
  <si>
    <t>Variance &amp; Standard Deviation</t>
  </si>
  <si>
    <t>LINK</t>
  </si>
  <si>
    <t>Status</t>
  </si>
  <si>
    <t>Placed</t>
  </si>
  <si>
    <t>Not Placed</t>
  </si>
  <si>
    <t>Frequency</t>
  </si>
  <si>
    <t>Relative Frequency</t>
  </si>
  <si>
    <t>Grand Total</t>
  </si>
  <si>
    <t>Graduates:</t>
  </si>
  <si>
    <t>PROBABILITY DISTRIBUTIONS</t>
  </si>
  <si>
    <t>Student ID</t>
  </si>
  <si>
    <t>Work Experience</t>
  </si>
  <si>
    <t>Employability (Before)</t>
  </si>
  <si>
    <t>Employability (After)</t>
  </si>
  <si>
    <t>Business</t>
  </si>
  <si>
    <t>No</t>
  </si>
  <si>
    <t>Other</t>
  </si>
  <si>
    <t>Yes</t>
  </si>
  <si>
    <t>Max:</t>
  </si>
  <si>
    <t>Min:</t>
  </si>
  <si>
    <t>Upper Limit</t>
  </si>
  <si>
    <t>Annual Salary</t>
  </si>
  <si>
    <t>Undergrad Degree</t>
  </si>
  <si>
    <t>Annual Salary (Thousands of USD)</t>
  </si>
  <si>
    <t>60-65</t>
  </si>
  <si>
    <t>65-70</t>
  </si>
  <si>
    <t>70-75</t>
  </si>
  <si>
    <t>75-80</t>
  </si>
  <si>
    <t>80-85</t>
  </si>
  <si>
    <t>85-90</t>
  </si>
  <si>
    <t>90-95</t>
  </si>
  <si>
    <t>95-100</t>
  </si>
  <si>
    <t>Mean:</t>
  </si>
  <si>
    <t>Median:</t>
  </si>
  <si>
    <t>Mode:</t>
  </si>
  <si>
    <t>Skew:</t>
  </si>
  <si>
    <t>Mode(s):</t>
  </si>
  <si>
    <t>SALARY STATISTICS</t>
  </si>
  <si>
    <t>Column Chart</t>
  </si>
  <si>
    <t>Histogram</t>
  </si>
  <si>
    <t>SALARY STATISTICS BY WORK EXPERIENCE</t>
  </si>
  <si>
    <t>Business Undergrads</t>
  </si>
  <si>
    <t>Other Undergrads</t>
  </si>
  <si>
    <t>MBA GRADE STATISTICS BY UNDERGRAD</t>
  </si>
  <si>
    <t>Before</t>
  </si>
  <si>
    <t>After</t>
  </si>
  <si>
    <t>Range:</t>
  </si>
  <si>
    <t>EMPLOYABILITY SCORES</t>
  </si>
  <si>
    <t>Q1:</t>
  </si>
  <si>
    <t>Q3:</t>
  </si>
  <si>
    <t>IQR:</t>
  </si>
  <si>
    <t>Variance:</t>
  </si>
  <si>
    <t>Standard Deviation:</t>
  </si>
  <si>
    <t>Std Dev:</t>
  </si>
  <si>
    <t>Sample Size:</t>
  </si>
  <si>
    <t>Engineering</t>
  </si>
  <si>
    <t>Computer Science</t>
  </si>
  <si>
    <t>Finance</t>
  </si>
  <si>
    <t>Art</t>
  </si>
  <si>
    <t>Undergrad Grade</t>
  </si>
  <si>
    <t>MBA Grade</t>
  </si>
  <si>
    <t>Coefficient of Variation:</t>
  </si>
  <si>
    <t>Employability</t>
  </si>
  <si>
    <t>VARIABILITY COMPARISON</t>
  </si>
  <si>
    <t>Coefficient of Variation</t>
  </si>
  <si>
    <t>Z-Scores</t>
  </si>
  <si>
    <t>Empirical Rule</t>
  </si>
  <si>
    <t>Normal Distribution</t>
  </si>
  <si>
    <t>MEAN = MEDIAN (?)</t>
  </si>
  <si>
    <t>NORMAL DISTRIBUTION</t>
  </si>
  <si>
    <t>Z-SCORE CALCULATOR</t>
  </si>
  <si>
    <t>Student ID:</t>
  </si>
  <si>
    <t>Grade:</t>
  </si>
  <si>
    <t>Z-Score:</t>
  </si>
  <si>
    <t>Std Dev from the Mean:</t>
  </si>
  <si>
    <t>Lower:</t>
  </si>
  <si>
    <t>Upper:</t>
  </si>
  <si>
    <t>Empirical Rule:</t>
  </si>
  <si>
    <t>Sample:</t>
  </si>
  <si>
    <t>EMPIRICAL RULE</t>
  </si>
  <si>
    <t>Plotting the Normal Curve</t>
  </si>
  <si>
    <t>Grade</t>
  </si>
  <si>
    <t>Probability Density</t>
  </si>
  <si>
    <t>Calculating Probabilities with NORM.DIST</t>
  </si>
  <si>
    <t>X:</t>
  </si>
  <si>
    <t>P(MBA Grade&gt;=90):</t>
  </si>
  <si>
    <t>Cumulative Probability</t>
  </si>
  <si>
    <t>Calculating Probabilities with NORM.S.DIST</t>
  </si>
  <si>
    <t>Z lower:</t>
  </si>
  <si>
    <t>Z upper:</t>
  </si>
  <si>
    <t>Estimating Values with NORM.INV</t>
  </si>
  <si>
    <t>Estimating Z-Scores with NORM.S.INV</t>
  </si>
  <si>
    <t>Lower Probability:</t>
  </si>
  <si>
    <t>Upper Probability:</t>
  </si>
  <si>
    <t>MBA Grade (Upper):</t>
  </si>
  <si>
    <t>MBA Grade (Lower):</t>
  </si>
  <si>
    <t>Probability:</t>
  </si>
  <si>
    <t>MBA Grade:</t>
  </si>
  <si>
    <t>What are the annual salaries of our placed graduates?</t>
  </si>
  <si>
    <t>What were the final grade averages for our MBA graduates?</t>
  </si>
  <si>
    <t>What is the average salary for our current graduates? Does it vary by work experience?</t>
  </si>
  <si>
    <t>Are the salaries for our graduates centered around the mean?</t>
  </si>
  <si>
    <t>Did Business undergrads achieve higher MBA grades than the rest?</t>
  </si>
  <si>
    <t>How does the total spread of the graduates' employability scores compare before and after the MBA program?</t>
  </si>
  <si>
    <t>Where did most graduates score in their employability tests before and after the MBA program?</t>
  </si>
  <si>
    <t>What varies more on average for our graduates, final grade averages or employability scores?</t>
  </si>
  <si>
    <t>Are MBA grades more dispersed for Business undergrads than the rest?</t>
  </si>
  <si>
    <t>What was the final grade distribution for our graduates? Does it follow the bell shape?</t>
  </si>
  <si>
    <t>Most students get grades in which intervals?</t>
  </si>
  <si>
    <t>Do our graduates' annual salaries follow a normal distribution?</t>
  </si>
  <si>
    <t xml:space="preserve"> </t>
  </si>
  <si>
    <t>What is the probability of a graduate getting a final grade of 70 or lower?</t>
  </si>
  <si>
    <t>P(-1&lt;=Z&lt;=1):</t>
  </si>
  <si>
    <t>What is the probability of a graduate getting a final grade of 90 or higher?</t>
  </si>
  <si>
    <t>What does the normal distribution for the MBA grades look like?</t>
  </si>
  <si>
    <t>The middle 50% of graduates will get grades in what range?</t>
  </si>
  <si>
    <t>How many standard deviations away from the average MBA grade are the bottom 20% of graduates?</t>
  </si>
  <si>
    <t>What grade do graduates need to score in the top 10% of the class?</t>
  </si>
  <si>
    <t>CONFIDENCE INTERVALS</t>
  </si>
  <si>
    <t>SAMPLE DATA</t>
  </si>
  <si>
    <t>POPULATION DATA</t>
  </si>
  <si>
    <t>MARGIN OF ERROR</t>
  </si>
  <si>
    <t>Confidence Level:</t>
  </si>
  <si>
    <t>Alpha:</t>
  </si>
  <si>
    <t>Alpha/2:</t>
  </si>
  <si>
    <t>What is the mean employability score we can expect from our future graduates, with 90% confidence?</t>
  </si>
  <si>
    <t>Standard Error:</t>
  </si>
  <si>
    <t>CONFIDENCE INTERVAL</t>
  </si>
  <si>
    <t>Lower Limit:</t>
  </si>
  <si>
    <t>Upper Limit:</t>
  </si>
  <si>
    <t>Margin of Error:</t>
  </si>
  <si>
    <t>What is the mean annual salary we can expect from our future graduates?</t>
  </si>
  <si>
    <t>Critical Value (Z):</t>
  </si>
  <si>
    <t>Margin of Error &amp; Confidence Intervals</t>
  </si>
  <si>
    <t>Confidence Intervals with the T Distribution</t>
  </si>
  <si>
    <t>Critical Value (T):</t>
  </si>
  <si>
    <t>Confidence Intervals for Proportions</t>
  </si>
  <si>
    <t>p:</t>
  </si>
  <si>
    <t>1-p:</t>
  </si>
  <si>
    <t>What percentage of students can we expect to have previous work experience?</t>
  </si>
  <si>
    <t>Confidence Interval for Proportions</t>
  </si>
  <si>
    <t>What percentage of graduates can we expect to land a job by 2 months of graduating?</t>
  </si>
  <si>
    <t>CLT TESTS</t>
  </si>
  <si>
    <t>Is p*n&gt;5?</t>
  </si>
  <si>
    <t>Is (1-p)*n&gt;5?:</t>
  </si>
  <si>
    <t>Dependent Samples</t>
  </si>
  <si>
    <t>Independent Samples</t>
  </si>
  <si>
    <t>How much will student MBA Grades change on average compared to their Undergrad Grades?</t>
  </si>
  <si>
    <t>Confidence Interval for Dependent Samples</t>
  </si>
  <si>
    <t>Difference</t>
  </si>
  <si>
    <t>How much will Employability scores change on average after students graduate?</t>
  </si>
  <si>
    <t>Do Business undergrads achieve higher MBA grades on average than the rest?</t>
  </si>
  <si>
    <t>Confidence Intervals for Independent Samples</t>
  </si>
  <si>
    <t>Sample Size (n):</t>
  </si>
  <si>
    <t>Mean (x̄):</t>
  </si>
  <si>
    <r>
      <t>Variance (s</t>
    </r>
    <r>
      <rPr>
        <i/>
        <vertAlign val="superscript"/>
        <sz val="11"/>
        <color theme="1"/>
        <rFont val="Calibri"/>
        <family val="2"/>
        <scheme val="minor"/>
      </rPr>
      <t>2</t>
    </r>
    <r>
      <rPr>
        <i/>
        <sz val="11"/>
        <color theme="1"/>
        <rFont val="Calibri"/>
        <family val="2"/>
        <scheme val="minor"/>
      </rPr>
      <t>):</t>
    </r>
  </si>
  <si>
    <t>POINT ESTIMATE</t>
  </si>
  <si>
    <r>
      <t>x̄</t>
    </r>
    <r>
      <rPr>
        <i/>
        <vertAlign val="subscript"/>
        <sz val="11"/>
        <color theme="1"/>
        <rFont val="Calibri"/>
        <family val="2"/>
        <scheme val="minor"/>
      </rPr>
      <t>1</t>
    </r>
    <r>
      <rPr>
        <i/>
        <sz val="11"/>
        <color theme="1"/>
        <rFont val="Calibri"/>
        <family val="2"/>
        <scheme val="minor"/>
      </rPr>
      <t>-x̄</t>
    </r>
    <r>
      <rPr>
        <i/>
        <vertAlign val="subscript"/>
        <sz val="11"/>
        <color theme="1"/>
        <rFont val="Calibri"/>
        <family val="2"/>
        <scheme val="minor"/>
      </rPr>
      <t>2</t>
    </r>
    <r>
      <rPr>
        <i/>
        <sz val="11"/>
        <color theme="1"/>
        <rFont val="Calibri"/>
        <family val="2"/>
        <scheme val="minor"/>
      </rPr>
      <t>:</t>
    </r>
  </si>
  <si>
    <t>Degrees of Freedom:</t>
  </si>
  <si>
    <t>What's the difference in employability scores between graduates with and without jobs?</t>
  </si>
  <si>
    <r>
      <t>s</t>
    </r>
    <r>
      <rPr>
        <i/>
        <vertAlign val="superscript"/>
        <sz val="11"/>
        <color theme="1"/>
        <rFont val="Calibri"/>
        <family val="2"/>
        <scheme val="minor"/>
      </rPr>
      <t>2</t>
    </r>
    <r>
      <rPr>
        <i/>
        <sz val="11"/>
        <color theme="1"/>
        <rFont val="Calibri"/>
        <family val="2"/>
        <scheme val="minor"/>
      </rPr>
      <t>/n:</t>
    </r>
  </si>
  <si>
    <t>n-1:</t>
  </si>
  <si>
    <t>Difference Between Population Proportions</t>
  </si>
  <si>
    <t>Confidence Intervals for Difference in Proportions</t>
  </si>
  <si>
    <t>Are graduates with previous work experience placed at a higher rate?</t>
  </si>
  <si>
    <t>p(Placed):</t>
  </si>
  <si>
    <t>HYPOTHESIS TESTS</t>
  </si>
  <si>
    <t>P-Value</t>
  </si>
  <si>
    <t>Ho:</t>
  </si>
  <si>
    <t>Ha:</t>
  </si>
  <si>
    <t>μ</t>
  </si>
  <si>
    <t>=</t>
  </si>
  <si>
    <t>HYPOTHESES</t>
  </si>
  <si>
    <t>≠</t>
  </si>
  <si>
    <t>SIGNIFICANCE LEVEL</t>
  </si>
  <si>
    <t>Test Statistic (t):</t>
  </si>
  <si>
    <t>CONCLUSION</t>
  </si>
  <si>
    <t>HYPOTHESIS TEST</t>
  </si>
  <si>
    <t>We're currently stating that our graduates will achieve average employability scores of 300, is that true based on our first graduating class? (I'd be willing to be wrong 1 in 10 times)</t>
  </si>
  <si>
    <t>Two Tailed Hypothesis Test</t>
  </si>
  <si>
    <t>P-Value:</t>
  </si>
  <si>
    <t>One Tail Hypothesis Tests</t>
  </si>
  <si>
    <t>≤</t>
  </si>
  <si>
    <t>&gt;</t>
  </si>
  <si>
    <t>One Tail Hypothesis Test</t>
  </si>
  <si>
    <t>Test Statistic (Z):</t>
  </si>
  <si>
    <t>p</t>
  </si>
  <si>
    <t>Can we be 95% sure that over half of our placed graduates earn six digits?</t>
  </si>
  <si>
    <t>Hypothesis Tests for Dependent Samples</t>
  </si>
  <si>
    <r>
      <t>μ</t>
    </r>
    <r>
      <rPr>
        <vertAlign val="subscript"/>
        <sz val="11"/>
        <color theme="1"/>
        <rFont val="Calibri"/>
        <family val="2"/>
      </rPr>
      <t>1</t>
    </r>
    <r>
      <rPr>
        <sz val="11"/>
        <color theme="1"/>
        <rFont val="Calibri"/>
        <family val="2"/>
      </rPr>
      <t>-μ</t>
    </r>
    <r>
      <rPr>
        <vertAlign val="subscript"/>
        <sz val="11"/>
        <color theme="1"/>
        <rFont val="Calibri"/>
        <family val="2"/>
      </rPr>
      <t>2</t>
    </r>
  </si>
  <si>
    <t>Hypothesis Tests for Independent Samples</t>
  </si>
  <si>
    <t>Can we prove with 99% certainty that graduates with previous work experience earn more on average than those without?</t>
  </si>
  <si>
    <t>REGRESSION ANALYSIS</t>
  </si>
  <si>
    <t>Is a student's MBA Grade related to their Undergrad Grade?</t>
  </si>
  <si>
    <t>Linear Relationships &amp; Scatterplots</t>
  </si>
  <si>
    <t>Correlation</t>
  </si>
  <si>
    <t>LINEAR RELATIONSHIP</t>
  </si>
  <si>
    <t>Correlation:</t>
  </si>
  <si>
    <t>LINEAR RELATIONSHIPS</t>
  </si>
  <si>
    <t>Linear Relationships</t>
  </si>
  <si>
    <t>Are any variables related to the Annual Salary?</t>
  </si>
  <si>
    <t>Before:</t>
  </si>
  <si>
    <t>After:</t>
  </si>
  <si>
    <t>Linear Regression</t>
  </si>
  <si>
    <t>Y-Intercept:</t>
  </si>
  <si>
    <t>Slope:</t>
  </si>
  <si>
    <t>PREDICTION</t>
  </si>
  <si>
    <t>REGRESSION MODEL</t>
  </si>
  <si>
    <t>Employability Improvement</t>
  </si>
  <si>
    <t>Can we predict a student's employability score after the program by using their employability score before the program?</t>
  </si>
  <si>
    <t>Can we use a variable to predict a student's employability improvement?</t>
  </si>
  <si>
    <t>Simple Linear Regression</t>
  </si>
  <si>
    <t>MODEL EVALUATION</t>
  </si>
  <si>
    <t>SSE:</t>
  </si>
  <si>
    <t>SST:</t>
  </si>
  <si>
    <t>R-Squared:</t>
  </si>
  <si>
    <t>Test Statistic (F):</t>
  </si>
  <si>
    <t>MSR:</t>
  </si>
  <si>
    <t>MSE:</t>
  </si>
  <si>
    <t>Improvement:</t>
  </si>
  <si>
    <t>R-Squared</t>
  </si>
  <si>
    <t>Standard Error</t>
  </si>
  <si>
    <t>Hypothesis Test</t>
  </si>
  <si>
    <t>How much is our prediction off on average?</t>
  </si>
  <si>
    <t>What proportion of our graduates were placed within 2 months of graduation?</t>
  </si>
  <si>
    <t>75-90</t>
  </si>
  <si>
    <t>90-105</t>
  </si>
  <si>
    <t>105-120</t>
  </si>
  <si>
    <t>120-135</t>
  </si>
  <si>
    <t>135-150</t>
  </si>
  <si>
    <t>150-165</t>
  </si>
  <si>
    <t>165-180</t>
  </si>
  <si>
    <t>180-195</t>
  </si>
  <si>
    <t>195-210</t>
  </si>
  <si>
    <t>210-225</t>
  </si>
  <si>
    <t>225-240</t>
  </si>
  <si>
    <t>240-255</t>
  </si>
  <si>
    <t>255-270</t>
  </si>
  <si>
    <t>270-285</t>
  </si>
  <si>
    <t>285-300</t>
  </si>
  <si>
    <t>300-315</t>
  </si>
  <si>
    <t>315-330</t>
  </si>
  <si>
    <t>330-345</t>
  </si>
  <si>
    <t>Frequency Distributions</t>
  </si>
  <si>
    <t>Measures of Central Tendency</t>
  </si>
  <si>
    <t>Interquartile Range &amp; Five Number Summary</t>
  </si>
  <si>
    <t>Measures of Variability</t>
  </si>
  <si>
    <t>How many standard deviations away from the average is this student's MBA grade?</t>
  </si>
  <si>
    <t>Normal Distributions</t>
  </si>
  <si>
    <r>
      <t>P(MBA Grade</t>
    </r>
    <r>
      <rPr>
        <sz val="11"/>
        <color theme="1"/>
        <rFont val="Calibri"/>
        <family val="2"/>
      </rPr>
      <t>≤</t>
    </r>
    <r>
      <rPr>
        <i/>
        <sz val="11"/>
        <color theme="1"/>
        <rFont val="Calibri"/>
        <family val="2"/>
        <scheme val="minor"/>
      </rPr>
      <t>70):</t>
    </r>
  </si>
  <si>
    <t>PROBABILITY CALCULATOR</t>
  </si>
  <si>
    <t>Calculating Probabilities with the Standard Normal Distribution</t>
  </si>
  <si>
    <t>Calculating Probabilities with the Normal Distribution</t>
  </si>
  <si>
    <t>What is the probability of a graduate getting a final grade 1 standard deviation away from the mean at the most?</t>
  </si>
  <si>
    <t>Normal Distribution Curve</t>
  </si>
  <si>
    <t>VALUE ESTIMATES</t>
  </si>
  <si>
    <t>Value Estimates for the Normal Distribution</t>
  </si>
  <si>
    <t>Z-Score Estimates for the Standard Normal Distribution</t>
  </si>
  <si>
    <t>Z-SCORE ESTIMATE</t>
  </si>
  <si>
    <t>Estimates for the Normal Distribution</t>
  </si>
  <si>
    <t>Confidence Intervals - σ known</t>
  </si>
  <si>
    <t>Confidence Intervals - σ unknown</t>
  </si>
  <si>
    <t>Confidence Intervals for Dependent Samples</t>
  </si>
  <si>
    <r>
      <t>p</t>
    </r>
    <r>
      <rPr>
        <i/>
        <vertAlign val="subscript"/>
        <sz val="11"/>
        <color theme="1"/>
        <rFont val="Calibri"/>
        <family val="2"/>
        <scheme val="minor"/>
      </rPr>
      <t>1</t>
    </r>
    <r>
      <rPr>
        <i/>
        <sz val="11"/>
        <color theme="1"/>
        <rFont val="Calibri"/>
        <family val="2"/>
        <scheme val="minor"/>
      </rPr>
      <t>-p</t>
    </r>
    <r>
      <rPr>
        <i/>
        <vertAlign val="subscript"/>
        <sz val="11"/>
        <color theme="1"/>
        <rFont val="Calibri"/>
        <family val="2"/>
        <scheme val="minor"/>
      </rPr>
      <t>2</t>
    </r>
    <r>
      <rPr>
        <i/>
        <sz val="11"/>
        <color theme="1"/>
        <rFont val="Calibri"/>
        <family val="2"/>
        <scheme val="minor"/>
      </rPr>
      <t xml:space="preserve">:  </t>
    </r>
  </si>
  <si>
    <t>Is p*n&gt;5?:</t>
  </si>
  <si>
    <t>Conclusion</t>
  </si>
  <si>
    <t>Is there less than an 20% chance of 80 being the real MBA grade average with the current curriculum?</t>
  </si>
  <si>
    <t>≥</t>
  </si>
  <si>
    <t>&lt;</t>
  </si>
  <si>
    <t>We're assuming average employability scores of 300 from our graduates… but are they higher than 300 for placed graduates? (let's accept a 15% chance of type I error)</t>
  </si>
  <si>
    <t>Are we ok with assuming that student's employability scores are improving by an average of 50 points after the MBA program?</t>
  </si>
  <si>
    <t>x:</t>
  </si>
  <si>
    <t>Are we at least 95% sure that this isn't just random chance?</t>
  </si>
  <si>
    <t>On average, how much do the improvements in employability scores after the program vary from student to student?</t>
  </si>
  <si>
    <t>EMPLOYABILITY IMPROVEMENT</t>
  </si>
  <si>
    <t>Details for Frequency</t>
  </si>
  <si>
    <t>&lt;70</t>
  </si>
  <si>
    <t>70-90</t>
  </si>
  <si>
    <t>90-110</t>
  </si>
  <si>
    <t>110-130</t>
  </si>
  <si>
    <t>130-150</t>
  </si>
  <si>
    <t>150-170</t>
  </si>
  <si>
    <t>170-190</t>
  </si>
  <si>
    <t>190-210</t>
  </si>
  <si>
    <t>210-230</t>
  </si>
  <si>
    <t>230-250</t>
  </si>
  <si>
    <t>250-270</t>
  </si>
  <si>
    <t>270-290</t>
  </si>
  <si>
    <t>290-310</t>
  </si>
  <si>
    <t>310-330</t>
  </si>
  <si>
    <t>330-350</t>
  </si>
  <si>
    <t>&gt;350</t>
  </si>
  <si>
    <t>Cumulative Relative Frequency</t>
  </si>
  <si>
    <t>Central Tendency</t>
  </si>
  <si>
    <t>Variability</t>
  </si>
  <si>
    <t>Calculating Probabilities</t>
  </si>
  <si>
    <t>Estimating Values</t>
  </si>
  <si>
    <t>Confidence Intervals (Z Distribution)</t>
  </si>
  <si>
    <t>Confidence Intervals (T Distribution)</t>
  </si>
  <si>
    <t>Confidence Intervals (Proportions)</t>
  </si>
  <si>
    <t>Confidence Intervals (Dependent Samples)</t>
  </si>
  <si>
    <t>Confidence Intervals (Independent Samples)</t>
  </si>
  <si>
    <t>Hypothesis Tests (Two Tail)</t>
  </si>
  <si>
    <t>Hypothesis Tests (Proportions)</t>
  </si>
  <si>
    <t>Hypothesis Tests (Dependent Samples)</t>
  </si>
  <si>
    <t>Hypothesis Tests (Independent Samples)</t>
  </si>
  <si>
    <t>Since P is greater than Alpha, we don't have sufficient evidence to prove that average employability scores area any different than 300
We can keep stating the same average in our communications, keeping in min there is a 10% chance that I might be wrong.</t>
  </si>
  <si>
    <t>`</t>
  </si>
  <si>
    <t>Since P is less than Alpha, we have sufficient evidence to prove that the average employability scores for placed graduates are greater than 300
We should use this as a target, espacially since we estimated that our program improves scores by atleast 41 points on average.</t>
  </si>
  <si>
    <t xml:space="preserve">We do have sufficient evidence to prove that the proportion of placed graduates that earn at least $100k is greater than 50%.
</t>
  </si>
  <si>
    <t>Since P is greater than Alpha we don't have sufficient evidence to prove that average employability improvement scores is lower than 50.</t>
  </si>
  <si>
    <t>$124,647</t>
  </si>
  <si>
    <t>$116,903</t>
  </si>
  <si>
    <t>$7,774</t>
  </si>
  <si>
    <t>Since P is greater than Alpha we don't have sufficient evidence to prove that graduates with previous work experience earn more money</t>
  </si>
  <si>
    <t>How much better is the estimate from our regression model than our mean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</si>
</sst>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quot;$&quot;#,##0_);[Red]\(&quot;$&quot;#,##0\)"/>
    <numFmt numFmtId="165" formatCode="_(@"/>
    <numFmt numFmtId="166" formatCode="&quot;$&quot;#,##0"/>
    <numFmt numFmtId="167" formatCode="0.0"/>
    <numFmt numFmtId="168" formatCode="0.000"/>
    <numFmt numFmtId="169" formatCode="#,##0.0"/>
    <numFmt numFmtId="170" formatCode="0.0%"/>
    <numFmt numFmtId="171" formatCode="0.0000"/>
    <numFmt numFmtId="172" formatCode="#,##0.0000"/>
    <numFmt numFmtId="173" formatCode="&quot;$&quot;#,##0.00"/>
  </numFmts>
  <fonts count="18"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6"/>
      <color theme="0"/>
      <name val="Calibri"/>
      <family val="2"/>
      <scheme val="minor"/>
    </font>
    <font>
      <i/>
      <sz val="11"/>
      <color theme="1"/>
      <name val="Calibri"/>
      <family val="2"/>
      <scheme val="minor"/>
    </font>
    <font>
      <u/>
      <sz val="11"/>
      <color theme="10"/>
      <name val="Calibri"/>
      <family val="2"/>
      <scheme val="minor"/>
    </font>
    <font>
      <b/>
      <sz val="11"/>
      <color theme="1" tint="0.499984740745262"/>
      <name val="Calibri"/>
      <family val="2"/>
      <scheme val="minor"/>
    </font>
    <font>
      <sz val="11"/>
      <color theme="2" tint="-0.249977111117893"/>
      <name val="Calibri"/>
      <family val="2"/>
      <scheme val="minor"/>
    </font>
    <font>
      <sz val="12"/>
      <color theme="1" tint="0.34998626667073579"/>
      <name val="Calibri"/>
      <family val="2"/>
      <scheme val="minor"/>
    </font>
    <font>
      <sz val="12"/>
      <color rgb="FF595959"/>
      <name val="Calibri"/>
      <family val="2"/>
      <scheme val="minor"/>
    </font>
    <font>
      <b/>
      <sz val="14"/>
      <color rgb="FF000000"/>
      <name val="Calibri"/>
      <family val="2"/>
      <scheme val="minor"/>
    </font>
    <font>
      <i/>
      <vertAlign val="superscript"/>
      <sz val="11"/>
      <color theme="1"/>
      <name val="Calibri"/>
      <family val="2"/>
      <scheme val="minor"/>
    </font>
    <font>
      <i/>
      <vertAlign val="subscript"/>
      <sz val="11"/>
      <color theme="1"/>
      <name val="Calibri"/>
      <family val="2"/>
      <scheme val="minor"/>
    </font>
    <font>
      <sz val="11"/>
      <color theme="1"/>
      <name val="Calibri"/>
      <family val="2"/>
    </font>
    <font>
      <vertAlign val="subscript"/>
      <sz val="11"/>
      <color theme="1"/>
      <name val="Calibri"/>
      <family val="2"/>
    </font>
    <font>
      <i/>
      <sz val="11"/>
      <color theme="1" tint="0.499984740745262"/>
      <name val="Calibri"/>
      <family val="2"/>
      <scheme val="minor"/>
    </font>
    <font>
      <sz val="11"/>
      <color theme="1" tint="0.499984740745262"/>
      <name val="Calibri"/>
      <family val="2"/>
      <scheme val="minor"/>
    </font>
  </fonts>
  <fills count="20">
    <fill>
      <patternFill patternType="none"/>
    </fill>
    <fill>
      <patternFill patternType="gray125"/>
    </fill>
    <fill>
      <patternFill patternType="solid">
        <fgColor theme="4" tint="0.79998168889431442"/>
        <bgColor indexed="64"/>
      </patternFill>
    </fill>
    <fill>
      <patternFill patternType="solid">
        <fgColor theme="4"/>
        <bgColor indexed="64"/>
      </patternFill>
    </fill>
    <fill>
      <patternFill patternType="solid">
        <fgColor rgb="FFF0F3FA"/>
        <bgColor indexed="64"/>
      </patternFill>
    </fill>
    <fill>
      <patternFill patternType="solid">
        <fgColor theme="3"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rgb="FFFDEFE7"/>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9"/>
        <bgColor indexed="64"/>
      </patternFill>
    </fill>
    <fill>
      <patternFill patternType="solid">
        <fgColor rgb="FFEFF6EA"/>
        <bgColor indexed="64"/>
      </patternFill>
    </fill>
    <fill>
      <patternFill patternType="solid">
        <fgColor rgb="FFFFC000"/>
        <bgColor indexed="64"/>
      </patternFill>
    </fill>
    <fill>
      <patternFill patternType="solid">
        <fgColor theme="7" tint="0.79998168889431442"/>
        <bgColor indexed="64"/>
      </patternFill>
    </fill>
    <fill>
      <patternFill patternType="solid">
        <fgColor rgb="FFFFF7E1"/>
        <bgColor indexed="64"/>
      </patternFill>
    </fill>
    <fill>
      <patternFill patternType="solid">
        <fgColor rgb="FF8D42C6"/>
        <bgColor indexed="64"/>
      </patternFill>
    </fill>
    <fill>
      <patternFill patternType="solid">
        <fgColor rgb="FFEFE5F7"/>
        <bgColor indexed="64"/>
      </patternFill>
    </fill>
    <fill>
      <patternFill patternType="solid">
        <fgColor rgb="FFE8D9F3"/>
        <bgColor indexed="64"/>
      </patternFill>
    </fill>
    <fill>
      <patternFill patternType="solid">
        <fgColor theme="0"/>
        <bgColor indexed="64"/>
      </patternFill>
    </fill>
  </fills>
  <borders count="9">
    <border>
      <left/>
      <right/>
      <top/>
      <bottom/>
      <diagonal/>
    </border>
    <border>
      <left style="medium">
        <color theme="0"/>
      </left>
      <right style="medium">
        <color theme="0"/>
      </right>
      <top style="medium">
        <color theme="0"/>
      </top>
      <bottom style="medium">
        <color theme="0"/>
      </bottom>
      <diagonal/>
    </border>
    <border>
      <left style="thin">
        <color theme="2"/>
      </left>
      <right style="thin">
        <color theme="2"/>
      </right>
      <top style="thin">
        <color theme="2"/>
      </top>
      <bottom style="thin">
        <color theme="2"/>
      </bottom>
      <diagonal/>
    </border>
    <border>
      <left/>
      <right style="thin">
        <color theme="2"/>
      </right>
      <top style="thin">
        <color theme="2"/>
      </top>
      <bottom style="thin">
        <color theme="2"/>
      </bottom>
      <diagonal/>
    </border>
    <border>
      <left style="thin">
        <color theme="2"/>
      </left>
      <right/>
      <top style="thin">
        <color theme="2"/>
      </top>
      <bottom style="thin">
        <color theme="2"/>
      </bottom>
      <diagonal/>
    </border>
    <border>
      <left/>
      <right/>
      <top style="thin">
        <color theme="2"/>
      </top>
      <bottom style="thin">
        <color theme="2"/>
      </bottom>
      <diagonal/>
    </border>
    <border>
      <left style="medium">
        <color theme="0"/>
      </left>
      <right style="medium">
        <color theme="0"/>
      </right>
      <top/>
      <bottom/>
      <diagonal/>
    </border>
    <border>
      <left style="thin">
        <color theme="2"/>
      </left>
      <right style="thin">
        <color theme="2"/>
      </right>
      <top/>
      <bottom style="thin">
        <color theme="2"/>
      </bottom>
      <diagonal/>
    </border>
    <border>
      <left/>
      <right/>
      <top/>
      <bottom style="thin">
        <color theme="2"/>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113">
    <xf numFmtId="0" fontId="0" fillId="0" borderId="0" xfId="0"/>
    <xf numFmtId="0" fontId="0" fillId="0" borderId="0" xfId="0" applyAlignment="1">
      <alignment horizontal="center"/>
    </xf>
    <xf numFmtId="0" fontId="2" fillId="0" borderId="1" xfId="0" applyFont="1" applyBorder="1" applyAlignment="1">
      <alignment horizontal="center"/>
    </xf>
    <xf numFmtId="0" fontId="5" fillId="0" borderId="0" xfId="0" applyFont="1"/>
    <xf numFmtId="0" fontId="6" fillId="4" borderId="1" xfId="2" applyFill="1" applyBorder="1" applyAlignment="1">
      <alignment horizontal="center" vertical="center"/>
    </xf>
    <xf numFmtId="165" fontId="0" fillId="4" borderId="1" xfId="0" applyNumberFormat="1" applyFill="1" applyBorder="1" applyAlignment="1">
      <alignment vertical="center"/>
    </xf>
    <xf numFmtId="164" fontId="0" fillId="0" borderId="0" xfId="0" applyNumberFormat="1"/>
    <xf numFmtId="0" fontId="2" fillId="5" borderId="2" xfId="0" applyFont="1" applyFill="1" applyBorder="1"/>
    <xf numFmtId="0" fontId="0" fillId="0" borderId="2" xfId="0" applyBorder="1"/>
    <xf numFmtId="0" fontId="0" fillId="0" borderId="0" xfId="0" pivotButton="1"/>
    <xf numFmtId="0" fontId="2" fillId="7" borderId="0" xfId="0" applyFont="1" applyFill="1"/>
    <xf numFmtId="166" fontId="0" fillId="0" borderId="0" xfId="0" applyNumberFormat="1"/>
    <xf numFmtId="164" fontId="0" fillId="0" borderId="2" xfId="0" applyNumberFormat="1" applyBorder="1"/>
    <xf numFmtId="0" fontId="2" fillId="5" borderId="2" xfId="0" applyFont="1" applyFill="1" applyBorder="1" applyAlignment="1">
      <alignment wrapText="1"/>
    </xf>
    <xf numFmtId="0" fontId="2" fillId="5" borderId="2" xfId="0" applyFont="1" applyFill="1" applyBorder="1" applyAlignment="1">
      <alignment horizontal="left" wrapText="1"/>
    </xf>
    <xf numFmtId="0" fontId="6" fillId="2" borderId="1" xfId="2" applyFill="1" applyBorder="1" applyAlignment="1">
      <alignment horizontal="center" vertical="center"/>
    </xf>
    <xf numFmtId="0" fontId="5" fillId="0" borderId="0" xfId="0" applyFont="1" applyAlignment="1">
      <alignment horizontal="center"/>
    </xf>
    <xf numFmtId="0" fontId="3" fillId="0" borderId="0" xfId="0" applyFont="1"/>
    <xf numFmtId="164" fontId="0" fillId="0" borderId="0" xfId="0" applyNumberFormat="1" applyAlignment="1">
      <alignment horizontal="center"/>
    </xf>
    <xf numFmtId="0" fontId="5" fillId="0" borderId="0" xfId="0" applyFont="1" applyAlignment="1">
      <alignment horizontal="right"/>
    </xf>
    <xf numFmtId="2" fontId="0" fillId="0" borderId="0" xfId="0" applyNumberFormat="1" applyAlignment="1">
      <alignment horizontal="center"/>
    </xf>
    <xf numFmtId="165" fontId="0" fillId="8" borderId="1" xfId="0" applyNumberFormat="1" applyFill="1" applyBorder="1" applyAlignment="1">
      <alignment vertical="center"/>
    </xf>
    <xf numFmtId="0" fontId="6" fillId="8" borderId="1" xfId="2" applyFill="1" applyBorder="1" applyAlignment="1">
      <alignment horizontal="center" vertical="center"/>
    </xf>
    <xf numFmtId="0" fontId="6" fillId="7" borderId="1" xfId="2" applyFill="1" applyBorder="1" applyAlignment="1">
      <alignment horizontal="center" vertical="center"/>
    </xf>
    <xf numFmtId="0" fontId="5" fillId="0" borderId="0" xfId="0" applyFont="1" applyAlignment="1">
      <alignment horizontal="right" wrapText="1"/>
    </xf>
    <xf numFmtId="166" fontId="0" fillId="0" borderId="0" xfId="0" applyNumberFormat="1" applyAlignment="1">
      <alignment horizontal="center"/>
    </xf>
    <xf numFmtId="10" fontId="0" fillId="0" borderId="0" xfId="1" applyNumberFormat="1" applyFont="1" applyAlignment="1">
      <alignment horizontal="center"/>
    </xf>
    <xf numFmtId="0" fontId="9" fillId="0" borderId="0" xfId="0" applyFont="1"/>
    <xf numFmtId="0" fontId="10" fillId="0" borderId="0" xfId="0" applyFont="1"/>
    <xf numFmtId="0" fontId="6" fillId="9" borderId="1" xfId="2" applyFill="1" applyBorder="1" applyAlignment="1">
      <alignment horizontal="center" vertical="center"/>
    </xf>
    <xf numFmtId="165" fontId="0" fillId="12" borderId="1" xfId="0" applyNumberFormat="1" applyFill="1" applyBorder="1" applyAlignment="1">
      <alignment vertical="center"/>
    </xf>
    <xf numFmtId="0" fontId="6" fillId="12" borderId="1" xfId="2" applyFill="1" applyBorder="1" applyAlignment="1">
      <alignment horizontal="center" vertical="center"/>
    </xf>
    <xf numFmtId="0" fontId="0" fillId="0" borderId="0" xfId="1" applyNumberFormat="1" applyFont="1" applyAlignment="1">
      <alignment horizontal="center"/>
    </xf>
    <xf numFmtId="168" fontId="0" fillId="0" borderId="0" xfId="1" applyNumberFormat="1" applyFont="1" applyAlignment="1">
      <alignment horizontal="center"/>
    </xf>
    <xf numFmtId="171" fontId="0" fillId="0" borderId="0" xfId="0" applyNumberFormat="1" applyAlignment="1">
      <alignment horizontal="center"/>
    </xf>
    <xf numFmtId="0" fontId="11" fillId="0" borderId="0" xfId="0" applyFont="1"/>
    <xf numFmtId="0" fontId="2" fillId="5" borderId="4" xfId="0" applyFont="1" applyFill="1" applyBorder="1"/>
    <xf numFmtId="0" fontId="2" fillId="5" borderId="3" xfId="0" applyFont="1" applyFill="1" applyBorder="1"/>
    <xf numFmtId="0" fontId="2" fillId="5" borderId="0" xfId="0" applyFont="1" applyFill="1"/>
    <xf numFmtId="0" fontId="2" fillId="5" borderId="5" xfId="0" applyFont="1" applyFill="1" applyBorder="1"/>
    <xf numFmtId="3" fontId="0" fillId="0" borderId="0" xfId="0" applyNumberFormat="1" applyAlignment="1">
      <alignment horizontal="center"/>
    </xf>
    <xf numFmtId="0" fontId="6" fillId="14" borderId="1" xfId="2" applyFill="1" applyBorder="1" applyAlignment="1">
      <alignment horizontal="center" vertical="center"/>
    </xf>
    <xf numFmtId="165" fontId="0" fillId="15" borderId="1" xfId="0" applyNumberFormat="1" applyFill="1" applyBorder="1" applyAlignment="1">
      <alignment vertical="center"/>
    </xf>
    <xf numFmtId="0" fontId="6" fillId="15" borderId="1" xfId="2" applyFill="1" applyBorder="1" applyAlignment="1">
      <alignment horizontal="center" vertical="center"/>
    </xf>
    <xf numFmtId="165" fontId="0" fillId="15" borderId="6" xfId="0" applyNumberFormat="1" applyFill="1" applyBorder="1" applyAlignment="1">
      <alignment vertical="center"/>
    </xf>
    <xf numFmtId="0" fontId="2" fillId="2" borderId="0" xfId="0" applyFont="1" applyFill="1" applyAlignment="1">
      <alignment horizontal="center"/>
    </xf>
    <xf numFmtId="0" fontId="0" fillId="0" borderId="7" xfId="0" applyBorder="1"/>
    <xf numFmtId="164" fontId="0" fillId="0" borderId="7" xfId="0" applyNumberFormat="1" applyBorder="1"/>
    <xf numFmtId="166" fontId="0" fillId="0" borderId="2" xfId="0" applyNumberFormat="1" applyBorder="1"/>
    <xf numFmtId="165" fontId="0" fillId="17" borderId="1" xfId="0" applyNumberFormat="1" applyFill="1" applyBorder="1" applyAlignment="1">
      <alignment vertical="center"/>
    </xf>
    <xf numFmtId="0" fontId="6" fillId="17" borderId="1" xfId="2" applyFill="1" applyBorder="1" applyAlignment="1">
      <alignment horizontal="center" vertical="center"/>
    </xf>
    <xf numFmtId="0" fontId="6" fillId="18" borderId="1" xfId="2" applyFill="1" applyBorder="1" applyAlignment="1">
      <alignment horizontal="center" vertical="center"/>
    </xf>
    <xf numFmtId="0" fontId="16" fillId="0" borderId="0" xfId="0" applyFont="1" applyAlignment="1">
      <alignment horizontal="right"/>
    </xf>
    <xf numFmtId="10" fontId="0" fillId="0" borderId="2" xfId="1" applyNumberFormat="1" applyFont="1" applyBorder="1"/>
    <xf numFmtId="0" fontId="2" fillId="7" borderId="4" xfId="0" applyFont="1" applyFill="1" applyBorder="1"/>
    <xf numFmtId="0" fontId="2" fillId="7" borderId="5" xfId="0" applyFont="1" applyFill="1" applyBorder="1"/>
    <xf numFmtId="0" fontId="2" fillId="7" borderId="3" xfId="0" applyFont="1" applyFill="1" applyBorder="1"/>
    <xf numFmtId="0" fontId="2" fillId="9" borderId="4" xfId="0" applyFont="1" applyFill="1" applyBorder="1"/>
    <xf numFmtId="0" fontId="2" fillId="9" borderId="5" xfId="0" applyFont="1" applyFill="1" applyBorder="1"/>
    <xf numFmtId="0" fontId="2" fillId="9" borderId="3" xfId="0" applyFont="1" applyFill="1" applyBorder="1"/>
    <xf numFmtId="0" fontId="7" fillId="10" borderId="2" xfId="0" applyFont="1" applyFill="1" applyBorder="1" applyAlignment="1">
      <alignment wrapText="1"/>
    </xf>
    <xf numFmtId="0" fontId="2" fillId="9" borderId="5" xfId="0" applyFont="1" applyFill="1" applyBorder="1" applyAlignment="1">
      <alignment wrapText="1"/>
    </xf>
    <xf numFmtId="0" fontId="8" fillId="0" borderId="2" xfId="0" applyFont="1" applyBorder="1" applyAlignment="1">
      <alignment horizontal="center"/>
    </xf>
    <xf numFmtId="164" fontId="0" fillId="0" borderId="2" xfId="0" applyNumberFormat="1" applyBorder="1" applyAlignment="1">
      <alignment horizontal="center"/>
    </xf>
    <xf numFmtId="168" fontId="0" fillId="0" borderId="2" xfId="0" applyNumberFormat="1" applyBorder="1" applyAlignment="1">
      <alignment horizontal="center"/>
    </xf>
    <xf numFmtId="0" fontId="0" fillId="0" borderId="2" xfId="0" applyBorder="1" applyAlignment="1">
      <alignment horizontal="center"/>
    </xf>
    <xf numFmtId="167" fontId="0" fillId="0" borderId="2" xfId="0" applyNumberFormat="1" applyBorder="1" applyAlignment="1">
      <alignment horizontal="center"/>
    </xf>
    <xf numFmtId="1" fontId="0" fillId="0" borderId="2" xfId="0" applyNumberFormat="1" applyBorder="1" applyAlignment="1">
      <alignment horizontal="center"/>
    </xf>
    <xf numFmtId="3" fontId="0" fillId="0" borderId="2" xfId="0" applyNumberFormat="1" applyBorder="1" applyAlignment="1">
      <alignment horizontal="center"/>
    </xf>
    <xf numFmtId="2" fontId="0" fillId="0" borderId="2" xfId="0" applyNumberFormat="1" applyBorder="1" applyAlignment="1">
      <alignment horizontal="center"/>
    </xf>
    <xf numFmtId="169" fontId="0" fillId="0" borderId="2" xfId="0" applyNumberFormat="1" applyBorder="1" applyAlignment="1">
      <alignment horizontal="center"/>
    </xf>
    <xf numFmtId="9" fontId="0" fillId="0" borderId="2" xfId="1" applyFont="1" applyBorder="1" applyAlignment="1">
      <alignment horizontal="center"/>
    </xf>
    <xf numFmtId="170" fontId="0" fillId="0" borderId="2" xfId="1" applyNumberFormat="1" applyFont="1" applyBorder="1" applyAlignment="1">
      <alignment horizontal="center"/>
    </xf>
    <xf numFmtId="170" fontId="0" fillId="0" borderId="2" xfId="1" applyNumberFormat="1" applyFont="1" applyBorder="1" applyAlignment="1">
      <alignment horizontal="center" wrapText="1"/>
    </xf>
    <xf numFmtId="166" fontId="0" fillId="0" borderId="2" xfId="0" applyNumberFormat="1" applyBorder="1" applyAlignment="1">
      <alignment horizontal="center"/>
    </xf>
    <xf numFmtId="10" fontId="0" fillId="0" borderId="2" xfId="1" applyNumberFormat="1" applyFont="1" applyBorder="1" applyAlignment="1">
      <alignment horizontal="center"/>
    </xf>
    <xf numFmtId="9" fontId="0" fillId="0" borderId="2" xfId="0" applyNumberFormat="1" applyBorder="1" applyAlignment="1">
      <alignment horizontal="center"/>
    </xf>
    <xf numFmtId="167" fontId="0" fillId="0" borderId="2" xfId="1" applyNumberFormat="1" applyFont="1" applyBorder="1" applyAlignment="1">
      <alignment horizontal="center"/>
    </xf>
    <xf numFmtId="2" fontId="0" fillId="0" borderId="2" xfId="1" applyNumberFormat="1" applyFont="1" applyBorder="1" applyAlignment="1">
      <alignment horizontal="center"/>
    </xf>
    <xf numFmtId="0" fontId="0" fillId="0" borderId="2" xfId="1" applyNumberFormat="1" applyFont="1" applyBorder="1" applyAlignment="1">
      <alignment horizontal="center"/>
    </xf>
    <xf numFmtId="168" fontId="0" fillId="0" borderId="2" xfId="1" applyNumberFormat="1" applyFont="1" applyBorder="1" applyAlignment="1">
      <alignment horizontal="center"/>
    </xf>
    <xf numFmtId="171" fontId="0" fillId="0" borderId="2" xfId="0" applyNumberFormat="1" applyBorder="1" applyAlignment="1">
      <alignment horizontal="center"/>
    </xf>
    <xf numFmtId="170" fontId="0" fillId="0" borderId="2" xfId="0" applyNumberFormat="1" applyBorder="1" applyAlignment="1">
      <alignment horizontal="center"/>
    </xf>
    <xf numFmtId="9" fontId="14" fillId="0" borderId="2" xfId="0" applyNumberFormat="1" applyFont="1" applyBorder="1" applyAlignment="1">
      <alignment horizontal="center"/>
    </xf>
    <xf numFmtId="0" fontId="14" fillId="0" borderId="2" xfId="0" applyFont="1" applyBorder="1" applyAlignment="1">
      <alignment horizontal="center"/>
    </xf>
    <xf numFmtId="4" fontId="0" fillId="0" borderId="2" xfId="0" applyNumberFormat="1" applyBorder="1" applyAlignment="1">
      <alignment horizontal="center"/>
    </xf>
    <xf numFmtId="0" fontId="14" fillId="0" borderId="0" xfId="0" applyFont="1"/>
    <xf numFmtId="169" fontId="14" fillId="0" borderId="2" xfId="0" applyNumberFormat="1" applyFont="1" applyBorder="1" applyAlignment="1">
      <alignment horizontal="center"/>
    </xf>
    <xf numFmtId="172" fontId="0" fillId="0" borderId="2" xfId="0" applyNumberFormat="1" applyBorder="1" applyAlignment="1">
      <alignment horizontal="center"/>
    </xf>
    <xf numFmtId="0" fontId="0" fillId="0" borderId="0" xfId="0" quotePrefix="1"/>
    <xf numFmtId="171" fontId="5" fillId="0" borderId="0" xfId="0" applyNumberFormat="1" applyFont="1" applyAlignment="1">
      <alignment horizontal="center"/>
    </xf>
    <xf numFmtId="3" fontId="17" fillId="0" borderId="2" xfId="0" applyNumberFormat="1" applyFont="1" applyBorder="1" applyAlignment="1">
      <alignment horizontal="center"/>
    </xf>
    <xf numFmtId="173" fontId="0" fillId="0" borderId="0" xfId="0" applyNumberFormat="1"/>
    <xf numFmtId="2" fontId="0" fillId="0" borderId="0" xfId="0" applyNumberFormat="1"/>
    <xf numFmtId="0" fontId="2" fillId="5" borderId="8" xfId="0" applyFont="1" applyFill="1" applyBorder="1"/>
    <xf numFmtId="0" fontId="0" fillId="0" borderId="0" xfId="0" applyAlignment="1">
      <alignment horizontal="left"/>
    </xf>
    <xf numFmtId="0" fontId="2" fillId="0" borderId="0" xfId="0" applyFont="1"/>
    <xf numFmtId="10" fontId="0" fillId="0" borderId="0" xfId="0" applyNumberFormat="1"/>
    <xf numFmtId="165" fontId="0" fillId="18" borderId="1" xfId="0" applyNumberFormat="1" applyFill="1" applyBorder="1" applyAlignment="1">
      <alignment vertical="center"/>
    </xf>
    <xf numFmtId="165" fontId="0" fillId="14" borderId="1" xfId="0" applyNumberFormat="1" applyFill="1" applyBorder="1" applyAlignment="1">
      <alignment vertical="center"/>
    </xf>
    <xf numFmtId="165" fontId="0" fillId="9" borderId="1" xfId="0" applyNumberFormat="1" applyFill="1" applyBorder="1" applyAlignment="1">
      <alignment vertical="center"/>
    </xf>
    <xf numFmtId="165" fontId="0" fillId="7" borderId="1" xfId="0" applyNumberFormat="1" applyFill="1" applyBorder="1" applyAlignment="1">
      <alignment vertical="center"/>
    </xf>
    <xf numFmtId="165" fontId="0" fillId="2" borderId="1" xfId="0" applyNumberFormat="1" applyFill="1" applyBorder="1" applyAlignment="1">
      <alignment vertical="center"/>
    </xf>
    <xf numFmtId="0" fontId="4" fillId="3"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13" borderId="1" xfId="0" applyFont="1" applyFill="1" applyBorder="1" applyAlignment="1">
      <alignment horizontal="center" vertical="center"/>
    </xf>
    <xf numFmtId="0" fontId="4" fillId="16" borderId="1" xfId="0" applyFont="1" applyFill="1" applyBorder="1" applyAlignment="1">
      <alignment horizontal="center" vertical="center"/>
    </xf>
    <xf numFmtId="0" fontId="2" fillId="7" borderId="0" xfId="0" applyFont="1" applyFill="1" applyAlignment="1">
      <alignment horizontal="center"/>
    </xf>
    <xf numFmtId="0" fontId="2" fillId="9" borderId="0" xfId="0" applyFont="1" applyFill="1" applyAlignment="1">
      <alignment horizontal="center"/>
    </xf>
    <xf numFmtId="0" fontId="2" fillId="2" borderId="0" xfId="0" applyFont="1" applyFill="1" applyAlignment="1">
      <alignment horizontal="center"/>
    </xf>
    <xf numFmtId="0" fontId="0" fillId="19" borderId="2" xfId="0" applyFill="1" applyBorder="1" applyAlignment="1">
      <alignment horizontal="left" vertical="top" wrapText="1"/>
    </xf>
    <xf numFmtId="0" fontId="0" fillId="0" borderId="2" xfId="0" applyBorder="1" applyAlignment="1">
      <alignment horizontal="left" vertical="top" wrapText="1"/>
    </xf>
  </cellXfs>
  <cellStyles count="3">
    <cellStyle name="Hyperlink" xfId="2" builtinId="8"/>
    <cellStyle name="Normal" xfId="0" builtinId="0"/>
    <cellStyle name="Percent" xfId="1" builtinId="5"/>
  </cellStyles>
  <dxfs count="1">
    <dxf>
      <numFmt numFmtId="14" formatCode="0.00%"/>
    </dxf>
  </dxfs>
  <tableStyles count="1" defaultTableStyle="TableStyleMedium2" defaultPivotStyle="PivotStyleLight16">
    <tableStyle name="Invisible" pivot="0" table="0" count="0" xr9:uid="{A5B5F45F-A7F7-48CD-ACD7-BF040155F9E0}"/>
  </tableStyles>
  <colors>
    <mruColors>
      <color rgb="FFEFE5F7"/>
      <color rgb="FFE2D0F0"/>
      <color rgb="FF63BE7B"/>
      <color rgb="FFF8696B"/>
      <color rgb="FF8037B7"/>
      <color rgb="FFE8D9F3"/>
      <color rgb="FFE4D3F1"/>
      <color rgb="FFE9DCF4"/>
      <color rgb="FF8D42C6"/>
      <color rgb="FFFFF7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pivotCacheDefinition" Target="pivotCache/pivotCacheDefinition1.xml"/><Relationship Id="rId58"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Distribution for MBA Graduates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Histograms!$M$5</c:f>
              <c:strCache>
                <c:ptCount val="1"/>
                <c:pt idx="0">
                  <c:v>Frequency</c:v>
                </c:pt>
              </c:strCache>
            </c:strRef>
          </c:tx>
          <c:spPr>
            <a:solidFill>
              <a:schemeClr val="accent1"/>
            </a:solidFill>
            <a:ln>
              <a:solidFill>
                <a:schemeClr val="bg1"/>
              </a:solidFill>
            </a:ln>
            <a:effectLst/>
          </c:spPr>
          <c:invertIfNegative val="0"/>
          <c:cat>
            <c:strRef>
              <c:f>Histograms!$L$6:$L$23</c:f>
              <c:strCache>
                <c:ptCount val="18"/>
                <c:pt idx="0">
                  <c:v>75-90</c:v>
                </c:pt>
                <c:pt idx="1">
                  <c:v>90-105</c:v>
                </c:pt>
                <c:pt idx="2">
                  <c:v>105-120</c:v>
                </c:pt>
                <c:pt idx="3">
                  <c:v>120-135</c:v>
                </c:pt>
                <c:pt idx="4">
                  <c:v>135-150</c:v>
                </c:pt>
                <c:pt idx="5">
                  <c:v>150-165</c:v>
                </c:pt>
                <c:pt idx="6">
                  <c:v>165-180</c:v>
                </c:pt>
                <c:pt idx="7">
                  <c:v>180-195</c:v>
                </c:pt>
                <c:pt idx="8">
                  <c:v>195-210</c:v>
                </c:pt>
                <c:pt idx="9">
                  <c:v>210-225</c:v>
                </c:pt>
                <c:pt idx="10">
                  <c:v>225-240</c:v>
                </c:pt>
                <c:pt idx="11">
                  <c:v>240-255</c:v>
                </c:pt>
                <c:pt idx="12">
                  <c:v>255-270</c:v>
                </c:pt>
                <c:pt idx="13">
                  <c:v>270-285</c:v>
                </c:pt>
                <c:pt idx="14">
                  <c:v>285-300</c:v>
                </c:pt>
                <c:pt idx="15">
                  <c:v>300-315</c:v>
                </c:pt>
                <c:pt idx="16">
                  <c:v>315-330</c:v>
                </c:pt>
                <c:pt idx="17">
                  <c:v>330-345</c:v>
                </c:pt>
              </c:strCache>
            </c:strRef>
          </c:cat>
          <c:val>
            <c:numRef>
              <c:f>Histograms!$M$6:$M$23</c:f>
              <c:numCache>
                <c:formatCode>General</c:formatCode>
                <c:ptCount val="18"/>
                <c:pt idx="0">
                  <c:v>9</c:v>
                </c:pt>
                <c:pt idx="1">
                  <c:v>18</c:v>
                </c:pt>
                <c:pt idx="2">
                  <c:v>9</c:v>
                </c:pt>
                <c:pt idx="3">
                  <c:v>7</c:v>
                </c:pt>
                <c:pt idx="4">
                  <c:v>3</c:v>
                </c:pt>
                <c:pt idx="5">
                  <c:v>2</c:v>
                </c:pt>
                <c:pt idx="6">
                  <c:v>1</c:v>
                </c:pt>
                <c:pt idx="7">
                  <c:v>1</c:v>
                </c:pt>
                <c:pt idx="8">
                  <c:v>1</c:v>
                </c:pt>
                <c:pt idx="9">
                  <c:v>0</c:v>
                </c:pt>
                <c:pt idx="10">
                  <c:v>0</c:v>
                </c:pt>
                <c:pt idx="11">
                  <c:v>0</c:v>
                </c:pt>
                <c:pt idx="12">
                  <c:v>1</c:v>
                </c:pt>
                <c:pt idx="13">
                  <c:v>0</c:v>
                </c:pt>
                <c:pt idx="14">
                  <c:v>0</c:v>
                </c:pt>
                <c:pt idx="15">
                  <c:v>0</c:v>
                </c:pt>
                <c:pt idx="16">
                  <c:v>0</c:v>
                </c:pt>
                <c:pt idx="17">
                  <c:v>1</c:v>
                </c:pt>
              </c:numCache>
            </c:numRef>
          </c:val>
          <c:extLst>
            <c:ext xmlns:c16="http://schemas.microsoft.com/office/drawing/2014/chart" uri="{C3380CC4-5D6E-409C-BE32-E72D297353CC}">
              <c16:uniqueId val="{00000000-D5EB-4697-8CDE-B054C33957E1}"/>
            </c:ext>
          </c:extLst>
        </c:ser>
        <c:dLbls>
          <c:showLegendKey val="0"/>
          <c:showVal val="0"/>
          <c:showCatName val="0"/>
          <c:showSerName val="0"/>
          <c:showPercent val="0"/>
          <c:showBubbleSize val="0"/>
        </c:dLbls>
        <c:gapWidth val="0"/>
        <c:overlap val="-27"/>
        <c:axId val="602348824"/>
        <c:axId val="602340904"/>
      </c:barChart>
      <c:catAx>
        <c:axId val="602348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Annual Salary</a:t>
                </a:r>
                <a:r>
                  <a:rPr lang="en-GB" baseline="0"/>
                  <a:t> (USD)</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340904"/>
        <c:crosses val="autoZero"/>
        <c:auto val="1"/>
        <c:lblAlgn val="ctr"/>
        <c:lblOffset val="100"/>
        <c:noMultiLvlLbl val="0"/>
      </c:catAx>
      <c:valAx>
        <c:axId val="6023409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348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[RBS Statistics.xlsx]Normal Distribution!PivotTable1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 Distribution for MBA Graduates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'Normal Distribution'!$E$5</c:f>
              <c:strCache>
                <c:ptCount val="1"/>
                <c:pt idx="0">
                  <c:v>Total</c:v>
                </c:pt>
              </c:strCache>
            </c:strRef>
          </c:tx>
          <c:spPr>
            <a:solidFill>
              <a:schemeClr val="accent1"/>
            </a:solidFill>
            <a:ln w="9525">
              <a:solidFill>
                <a:schemeClr val="bg1"/>
              </a:solidFill>
            </a:ln>
            <a:effectLst/>
          </c:spPr>
          <c:invertIfNegative val="0"/>
          <c:cat>
            <c:strRef>
              <c:f>'Normal Distribution'!$D$6:$D$14</c:f>
              <c:strCache>
                <c:ptCount val="8"/>
                <c:pt idx="0">
                  <c:v>60-65</c:v>
                </c:pt>
                <c:pt idx="1">
                  <c:v>65-70</c:v>
                </c:pt>
                <c:pt idx="2">
                  <c:v>70-75</c:v>
                </c:pt>
                <c:pt idx="3">
                  <c:v>75-80</c:v>
                </c:pt>
                <c:pt idx="4">
                  <c:v>80-85</c:v>
                </c:pt>
                <c:pt idx="5">
                  <c:v>85-90</c:v>
                </c:pt>
                <c:pt idx="6">
                  <c:v>90-95</c:v>
                </c:pt>
                <c:pt idx="7">
                  <c:v>95-100</c:v>
                </c:pt>
              </c:strCache>
            </c:strRef>
          </c:cat>
          <c:val>
            <c:numRef>
              <c:f>'Normal Distribution'!$E$6:$E$14</c:f>
              <c:numCache>
                <c:formatCode>General</c:formatCode>
                <c:ptCount val="8"/>
                <c:pt idx="0">
                  <c:v>1</c:v>
                </c:pt>
                <c:pt idx="1">
                  <c:v>3</c:v>
                </c:pt>
                <c:pt idx="2">
                  <c:v>17</c:v>
                </c:pt>
                <c:pt idx="3">
                  <c:v>24</c:v>
                </c:pt>
                <c:pt idx="4">
                  <c:v>29</c:v>
                </c:pt>
                <c:pt idx="5">
                  <c:v>17</c:v>
                </c:pt>
                <c:pt idx="6">
                  <c:v>3</c:v>
                </c:pt>
                <c:pt idx="7">
                  <c:v>1</c:v>
                </c:pt>
              </c:numCache>
            </c:numRef>
          </c:val>
          <c:extLst>
            <c:ext xmlns:c16="http://schemas.microsoft.com/office/drawing/2014/chart" uri="{C3380CC4-5D6E-409C-BE32-E72D297353CC}">
              <c16:uniqueId val="{00000000-36DE-4EEA-9438-A65CCE035093}"/>
            </c:ext>
          </c:extLst>
        </c:ser>
        <c:dLbls>
          <c:showLegendKey val="0"/>
          <c:showVal val="0"/>
          <c:showCatName val="0"/>
          <c:showSerName val="0"/>
          <c:showPercent val="0"/>
          <c:showBubbleSize val="0"/>
        </c:dLbls>
        <c:gapWidth val="0"/>
        <c:overlap val="-27"/>
        <c:axId val="48988911"/>
        <c:axId val="48978511"/>
      </c:barChart>
      <c:catAx>
        <c:axId val="48988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Grade Average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8511"/>
        <c:crosses val="autoZero"/>
        <c:auto val="1"/>
        <c:lblAlgn val="ctr"/>
        <c:lblOffset val="100"/>
        <c:noMultiLvlLbl val="0"/>
      </c:catAx>
      <c:valAx>
        <c:axId val="48978511"/>
        <c:scaling>
          <c:orientation val="minMax"/>
        </c:scaling>
        <c:delete val="1"/>
        <c:axPos val="l"/>
        <c:numFmt formatCode="General" sourceLinked="1"/>
        <c:majorTickMark val="none"/>
        <c:minorTickMark val="none"/>
        <c:tickLblPos val="nextTo"/>
        <c:crossAx val="4898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MBA</a:t>
            </a:r>
            <a:r>
              <a:rPr lang="en-US" baseline="0"/>
              <a:t> Grades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1"/>
          <c:order val="1"/>
          <c:tx>
            <c:strRef>
              <c:f>'Normal Curve'!$I$5</c:f>
              <c:strCache>
                <c:ptCount val="1"/>
                <c:pt idx="0">
                  <c:v>Cumulative Probability</c:v>
                </c:pt>
              </c:strCache>
            </c:strRef>
          </c:tx>
          <c:spPr>
            <a:solidFill>
              <a:schemeClr val="tx2">
                <a:lumMod val="20000"/>
                <a:lumOff val="80000"/>
              </a:schemeClr>
            </a:solidFill>
            <a:ln>
              <a:noFill/>
            </a:ln>
            <a:effectLst/>
          </c:spPr>
          <c:cat>
            <c:numRef>
              <c:f>'Normal Curve'!$G$6:$G$26</c:f>
              <c:numCache>
                <c:formatCode>General</c:formatCode>
                <c:ptCount val="21"/>
                <c:pt idx="0">
                  <c:v>60</c:v>
                </c:pt>
                <c:pt idx="1">
                  <c:v>62</c:v>
                </c:pt>
                <c:pt idx="2">
                  <c:v>64</c:v>
                </c:pt>
                <c:pt idx="3">
                  <c:v>66</c:v>
                </c:pt>
                <c:pt idx="4">
                  <c:v>68</c:v>
                </c:pt>
                <c:pt idx="5">
                  <c:v>70</c:v>
                </c:pt>
                <c:pt idx="6">
                  <c:v>72</c:v>
                </c:pt>
                <c:pt idx="7">
                  <c:v>74</c:v>
                </c:pt>
                <c:pt idx="8">
                  <c:v>76</c:v>
                </c:pt>
                <c:pt idx="9">
                  <c:v>78</c:v>
                </c:pt>
                <c:pt idx="10">
                  <c:v>80</c:v>
                </c:pt>
                <c:pt idx="11">
                  <c:v>82</c:v>
                </c:pt>
                <c:pt idx="12">
                  <c:v>84</c:v>
                </c:pt>
                <c:pt idx="13">
                  <c:v>86</c:v>
                </c:pt>
                <c:pt idx="14">
                  <c:v>88</c:v>
                </c:pt>
                <c:pt idx="15">
                  <c:v>90</c:v>
                </c:pt>
                <c:pt idx="16">
                  <c:v>92</c:v>
                </c:pt>
                <c:pt idx="17">
                  <c:v>94</c:v>
                </c:pt>
                <c:pt idx="18">
                  <c:v>96</c:v>
                </c:pt>
                <c:pt idx="19">
                  <c:v>98</c:v>
                </c:pt>
                <c:pt idx="20">
                  <c:v>100</c:v>
                </c:pt>
              </c:numCache>
            </c:numRef>
          </c:cat>
          <c:val>
            <c:numRef>
              <c:f>'Normal Curve'!$I$6:$I$26</c:f>
              <c:numCache>
                <c:formatCode>General</c:formatCode>
                <c:ptCount val="21"/>
                <c:pt idx="0">
                  <c:v>3.0952931395656784E-4</c:v>
                </c:pt>
                <c:pt idx="1">
                  <c:v>8.4716192775783749E-4</c:v>
                </c:pt>
                <c:pt idx="2">
                  <c:v>2.087421445520822E-3</c:v>
                </c:pt>
                <c:pt idx="3">
                  <c:v>4.6305536271465499E-3</c:v>
                </c:pt>
                <c:pt idx="4">
                  <c:v>9.2477219127595003E-3</c:v>
                </c:pt>
                <c:pt idx="5">
                  <c:v>1.6627067938365887E-2</c:v>
                </c:pt>
                <c:pt idx="6">
                  <c:v>2.6913838820218548E-2</c:v>
                </c:pt>
                <c:pt idx="7">
                  <c:v>3.922064118584874E-2</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3-2EDB-4383-B6F5-1034EE38A4C0}"/>
            </c:ext>
          </c:extLst>
        </c:ser>
        <c:dLbls>
          <c:showLegendKey val="0"/>
          <c:showVal val="0"/>
          <c:showCatName val="0"/>
          <c:showSerName val="0"/>
          <c:showPercent val="0"/>
          <c:showBubbleSize val="0"/>
        </c:dLbls>
        <c:axId val="603366696"/>
        <c:axId val="603366336"/>
      </c:areaChart>
      <c:lineChart>
        <c:grouping val="standard"/>
        <c:varyColors val="0"/>
        <c:ser>
          <c:idx val="0"/>
          <c:order val="0"/>
          <c:tx>
            <c:strRef>
              <c:f>'Normal Curve'!$H$5</c:f>
              <c:strCache>
                <c:ptCount val="1"/>
                <c:pt idx="0">
                  <c:v>Probability Density</c:v>
                </c:pt>
              </c:strCache>
            </c:strRef>
          </c:tx>
          <c:spPr>
            <a:ln w="28575" cap="rnd">
              <a:solidFill>
                <a:schemeClr val="accent1"/>
              </a:solidFill>
              <a:round/>
            </a:ln>
            <a:effectLst/>
          </c:spPr>
          <c:marker>
            <c:symbol val="none"/>
          </c:marker>
          <c:cat>
            <c:numRef>
              <c:f>'Normal Curve'!$G$6:$G$26</c:f>
              <c:numCache>
                <c:formatCode>General</c:formatCode>
                <c:ptCount val="21"/>
                <c:pt idx="0">
                  <c:v>60</c:v>
                </c:pt>
                <c:pt idx="1">
                  <c:v>62</c:v>
                </c:pt>
                <c:pt idx="2">
                  <c:v>64</c:v>
                </c:pt>
                <c:pt idx="3">
                  <c:v>66</c:v>
                </c:pt>
                <c:pt idx="4">
                  <c:v>68</c:v>
                </c:pt>
                <c:pt idx="5">
                  <c:v>70</c:v>
                </c:pt>
                <c:pt idx="6">
                  <c:v>72</c:v>
                </c:pt>
                <c:pt idx="7">
                  <c:v>74</c:v>
                </c:pt>
                <c:pt idx="8">
                  <c:v>76</c:v>
                </c:pt>
                <c:pt idx="9">
                  <c:v>78</c:v>
                </c:pt>
                <c:pt idx="10">
                  <c:v>80</c:v>
                </c:pt>
                <c:pt idx="11">
                  <c:v>82</c:v>
                </c:pt>
                <c:pt idx="12">
                  <c:v>84</c:v>
                </c:pt>
                <c:pt idx="13">
                  <c:v>86</c:v>
                </c:pt>
                <c:pt idx="14">
                  <c:v>88</c:v>
                </c:pt>
                <c:pt idx="15">
                  <c:v>90</c:v>
                </c:pt>
                <c:pt idx="16">
                  <c:v>92</c:v>
                </c:pt>
                <c:pt idx="17">
                  <c:v>94</c:v>
                </c:pt>
                <c:pt idx="18">
                  <c:v>96</c:v>
                </c:pt>
                <c:pt idx="19">
                  <c:v>98</c:v>
                </c:pt>
                <c:pt idx="20">
                  <c:v>100</c:v>
                </c:pt>
              </c:numCache>
            </c:numRef>
          </c:cat>
          <c:val>
            <c:numRef>
              <c:f>'Normal Curve'!$H$6:$H$26</c:f>
              <c:numCache>
                <c:formatCode>General</c:formatCode>
                <c:ptCount val="21"/>
                <c:pt idx="0">
                  <c:v>3.0952931395656784E-4</c:v>
                </c:pt>
                <c:pt idx="1">
                  <c:v>8.4716192775783749E-4</c:v>
                </c:pt>
                <c:pt idx="2">
                  <c:v>2.087421445520822E-3</c:v>
                </c:pt>
                <c:pt idx="3">
                  <c:v>4.6305536271465499E-3</c:v>
                </c:pt>
                <c:pt idx="4">
                  <c:v>9.2477219127595003E-3</c:v>
                </c:pt>
                <c:pt idx="5">
                  <c:v>1.6627067938365887E-2</c:v>
                </c:pt>
                <c:pt idx="6">
                  <c:v>2.6913838820218548E-2</c:v>
                </c:pt>
                <c:pt idx="7">
                  <c:v>3.922064118584874E-2</c:v>
                </c:pt>
                <c:pt idx="8">
                  <c:v>5.1455617885659118E-2</c:v>
                </c:pt>
                <c:pt idx="9">
                  <c:v>6.0775700353358199E-2</c:v>
                </c:pt>
                <c:pt idx="10">
                  <c:v>6.4625841766344283E-2</c:v>
                </c:pt>
                <c:pt idx="11">
                  <c:v>6.186735083523575E-2</c:v>
                </c:pt>
                <c:pt idx="12">
                  <c:v>5.332070624163418E-2</c:v>
                </c:pt>
                <c:pt idx="13">
                  <c:v>4.137226830550346E-2</c:v>
                </c:pt>
                <c:pt idx="14">
                  <c:v>2.8900265870792894E-2</c:v>
                </c:pt>
                <c:pt idx="15">
                  <c:v>1.817495774949713E-2</c:v>
                </c:pt>
                <c:pt idx="16">
                  <c:v>1.0290205502344866E-2</c:v>
                </c:pt>
                <c:pt idx="17">
                  <c:v>5.2450997543787847E-3</c:v>
                </c:pt>
                <c:pt idx="18">
                  <c:v>2.4069248056546818E-3</c:v>
                </c:pt>
                <c:pt idx="19">
                  <c:v>9.9437537201741604E-4</c:v>
                </c:pt>
                <c:pt idx="20">
                  <c:v>3.6984288004996362E-4</c:v>
                </c:pt>
              </c:numCache>
            </c:numRef>
          </c:val>
          <c:smooth val="0"/>
          <c:extLst>
            <c:ext xmlns:c16="http://schemas.microsoft.com/office/drawing/2014/chart" uri="{C3380CC4-5D6E-409C-BE32-E72D297353CC}">
              <c16:uniqueId val="{00000001-2EDB-4383-B6F5-1034EE38A4C0}"/>
            </c:ext>
          </c:extLst>
        </c:ser>
        <c:dLbls>
          <c:showLegendKey val="0"/>
          <c:showVal val="0"/>
          <c:showCatName val="0"/>
          <c:showSerName val="0"/>
          <c:showPercent val="0"/>
          <c:showBubbleSize val="0"/>
        </c:dLbls>
        <c:marker val="1"/>
        <c:smooth val="0"/>
        <c:axId val="603366696"/>
        <c:axId val="603366336"/>
      </c:lineChart>
      <c:catAx>
        <c:axId val="603366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X - MBA Grade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366336"/>
        <c:crosses val="autoZero"/>
        <c:auto val="1"/>
        <c:lblAlgn val="ctr"/>
        <c:lblOffset val="100"/>
        <c:noMultiLvlLbl val="0"/>
      </c:catAx>
      <c:valAx>
        <c:axId val="603366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Probability Density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366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Scatterplots!$C$5</c:f>
              <c:strCache>
                <c:ptCount val="1"/>
                <c:pt idx="0">
                  <c:v>MBA Grade</c:v>
                </c:pt>
              </c:strCache>
            </c:strRef>
          </c:tx>
          <c:spPr>
            <a:ln w="19050" cap="rnd">
              <a:noFill/>
              <a:round/>
            </a:ln>
            <a:effectLst/>
          </c:spPr>
          <c:marker>
            <c:symbol val="circle"/>
            <c:size val="5"/>
            <c:spPr>
              <a:solidFill>
                <a:schemeClr val="accent1"/>
              </a:solidFill>
              <a:ln w="9525">
                <a:solidFill>
                  <a:schemeClr val="accent1"/>
                </a:solidFill>
              </a:ln>
              <a:effectLst/>
            </c:spPr>
          </c:marker>
          <c:xVal>
            <c:numRef>
              <c:f>Scatterplots!$B$6:$B$100</c:f>
              <c:numCache>
                <c:formatCode>General</c:formatCode>
                <c:ptCount val="95"/>
                <c:pt idx="0">
                  <c:v>68.400000000000006</c:v>
                </c:pt>
                <c:pt idx="1">
                  <c:v>62.1</c:v>
                </c:pt>
                <c:pt idx="2">
                  <c:v>70.2</c:v>
                </c:pt>
                <c:pt idx="3">
                  <c:v>75.099999999999994</c:v>
                </c:pt>
                <c:pt idx="4">
                  <c:v>60.9</c:v>
                </c:pt>
                <c:pt idx="5">
                  <c:v>74.5</c:v>
                </c:pt>
                <c:pt idx="6">
                  <c:v>76.400000000000006</c:v>
                </c:pt>
                <c:pt idx="7">
                  <c:v>82.6</c:v>
                </c:pt>
                <c:pt idx="8">
                  <c:v>76.900000000000006</c:v>
                </c:pt>
                <c:pt idx="9">
                  <c:v>83.3</c:v>
                </c:pt>
                <c:pt idx="10">
                  <c:v>75.8</c:v>
                </c:pt>
                <c:pt idx="11">
                  <c:v>76</c:v>
                </c:pt>
                <c:pt idx="12">
                  <c:v>62.8</c:v>
                </c:pt>
                <c:pt idx="13">
                  <c:v>82.8</c:v>
                </c:pt>
                <c:pt idx="14">
                  <c:v>76</c:v>
                </c:pt>
                <c:pt idx="15">
                  <c:v>76.900000000000006</c:v>
                </c:pt>
                <c:pt idx="16">
                  <c:v>75.8</c:v>
                </c:pt>
                <c:pt idx="17">
                  <c:v>78</c:v>
                </c:pt>
                <c:pt idx="18">
                  <c:v>82.4</c:v>
                </c:pt>
                <c:pt idx="19">
                  <c:v>76.2</c:v>
                </c:pt>
                <c:pt idx="20">
                  <c:v>62.5</c:v>
                </c:pt>
                <c:pt idx="21">
                  <c:v>78</c:v>
                </c:pt>
                <c:pt idx="22">
                  <c:v>66.5</c:v>
                </c:pt>
                <c:pt idx="23">
                  <c:v>63.5</c:v>
                </c:pt>
                <c:pt idx="24">
                  <c:v>82.6</c:v>
                </c:pt>
                <c:pt idx="25">
                  <c:v>79.2</c:v>
                </c:pt>
                <c:pt idx="26">
                  <c:v>75</c:v>
                </c:pt>
                <c:pt idx="27">
                  <c:v>74.400000000000006</c:v>
                </c:pt>
                <c:pt idx="28">
                  <c:v>67.900000000000006</c:v>
                </c:pt>
                <c:pt idx="29">
                  <c:v>76.8</c:v>
                </c:pt>
                <c:pt idx="30">
                  <c:v>83</c:v>
                </c:pt>
                <c:pt idx="31">
                  <c:v>88.9</c:v>
                </c:pt>
                <c:pt idx="32">
                  <c:v>76.5</c:v>
                </c:pt>
                <c:pt idx="33">
                  <c:v>79.900000000000006</c:v>
                </c:pt>
                <c:pt idx="34">
                  <c:v>70.400000000000006</c:v>
                </c:pt>
                <c:pt idx="35">
                  <c:v>83.4</c:v>
                </c:pt>
                <c:pt idx="36">
                  <c:v>79.2</c:v>
                </c:pt>
                <c:pt idx="37">
                  <c:v>61.2</c:v>
                </c:pt>
                <c:pt idx="38">
                  <c:v>64</c:v>
                </c:pt>
                <c:pt idx="39">
                  <c:v>68</c:v>
                </c:pt>
                <c:pt idx="40">
                  <c:v>78.5</c:v>
                </c:pt>
                <c:pt idx="41">
                  <c:v>83</c:v>
                </c:pt>
                <c:pt idx="42">
                  <c:v>75.2</c:v>
                </c:pt>
                <c:pt idx="43">
                  <c:v>68.099999999999994</c:v>
                </c:pt>
                <c:pt idx="44">
                  <c:v>93.6</c:v>
                </c:pt>
                <c:pt idx="45">
                  <c:v>75.599999999999994</c:v>
                </c:pt>
                <c:pt idx="46">
                  <c:v>82.3</c:v>
                </c:pt>
                <c:pt idx="47">
                  <c:v>71.400000000000006</c:v>
                </c:pt>
                <c:pt idx="48">
                  <c:v>71.900000000000006</c:v>
                </c:pt>
                <c:pt idx="49">
                  <c:v>79.099999999999994</c:v>
                </c:pt>
                <c:pt idx="50">
                  <c:v>88.7</c:v>
                </c:pt>
                <c:pt idx="51">
                  <c:v>69.400000000000006</c:v>
                </c:pt>
                <c:pt idx="52">
                  <c:v>80.3</c:v>
                </c:pt>
                <c:pt idx="53">
                  <c:v>83</c:v>
                </c:pt>
                <c:pt idx="54">
                  <c:v>74.099999999999994</c:v>
                </c:pt>
                <c:pt idx="55">
                  <c:v>79.400000000000006</c:v>
                </c:pt>
                <c:pt idx="56">
                  <c:v>88.1</c:v>
                </c:pt>
                <c:pt idx="57">
                  <c:v>74.599999999999994</c:v>
                </c:pt>
                <c:pt idx="58">
                  <c:v>87.1</c:v>
                </c:pt>
                <c:pt idx="59">
                  <c:v>79.7</c:v>
                </c:pt>
                <c:pt idx="60">
                  <c:v>82.1</c:v>
                </c:pt>
                <c:pt idx="61">
                  <c:v>70.2</c:v>
                </c:pt>
                <c:pt idx="62">
                  <c:v>81.7</c:v>
                </c:pt>
                <c:pt idx="63">
                  <c:v>76.099999999999994</c:v>
                </c:pt>
                <c:pt idx="64">
                  <c:v>65.400000000000006</c:v>
                </c:pt>
                <c:pt idx="65">
                  <c:v>70.099999999999994</c:v>
                </c:pt>
                <c:pt idx="66">
                  <c:v>75.3</c:v>
                </c:pt>
                <c:pt idx="67">
                  <c:v>68.7</c:v>
                </c:pt>
                <c:pt idx="68">
                  <c:v>75.7</c:v>
                </c:pt>
                <c:pt idx="69">
                  <c:v>68.7</c:v>
                </c:pt>
                <c:pt idx="70">
                  <c:v>70.400000000000006</c:v>
                </c:pt>
                <c:pt idx="71">
                  <c:v>68.3</c:v>
                </c:pt>
                <c:pt idx="72">
                  <c:v>71.7</c:v>
                </c:pt>
                <c:pt idx="73">
                  <c:v>70.900000000000006</c:v>
                </c:pt>
                <c:pt idx="74">
                  <c:v>66.3</c:v>
                </c:pt>
                <c:pt idx="75">
                  <c:v>65.3</c:v>
                </c:pt>
                <c:pt idx="76">
                  <c:v>75.7</c:v>
                </c:pt>
                <c:pt idx="77">
                  <c:v>66</c:v>
                </c:pt>
                <c:pt idx="78">
                  <c:v>78.900000000000006</c:v>
                </c:pt>
                <c:pt idx="79">
                  <c:v>74</c:v>
                </c:pt>
                <c:pt idx="80">
                  <c:v>74.599999999999994</c:v>
                </c:pt>
                <c:pt idx="81">
                  <c:v>79.3</c:v>
                </c:pt>
                <c:pt idx="82">
                  <c:v>70.099999999999994</c:v>
                </c:pt>
                <c:pt idx="83">
                  <c:v>88.8</c:v>
                </c:pt>
                <c:pt idx="84">
                  <c:v>66</c:v>
                </c:pt>
                <c:pt idx="85">
                  <c:v>82.9</c:v>
                </c:pt>
                <c:pt idx="86">
                  <c:v>100</c:v>
                </c:pt>
                <c:pt idx="87">
                  <c:v>75.599999999999994</c:v>
                </c:pt>
                <c:pt idx="88">
                  <c:v>67.5</c:v>
                </c:pt>
                <c:pt idx="89">
                  <c:v>68.7</c:v>
                </c:pt>
                <c:pt idx="90">
                  <c:v>76</c:v>
                </c:pt>
                <c:pt idx="91">
                  <c:v>67.7</c:v>
                </c:pt>
                <c:pt idx="92">
                  <c:v>75.3</c:v>
                </c:pt>
                <c:pt idx="93">
                  <c:v>68.099999999999994</c:v>
                </c:pt>
                <c:pt idx="94">
                  <c:v>63.3</c:v>
                </c:pt>
              </c:numCache>
            </c:numRef>
          </c:xVal>
          <c:yVal>
            <c:numRef>
              <c:f>Scatterplots!$C$6:$C$100</c:f>
              <c:numCache>
                <c:formatCode>General</c:formatCode>
                <c:ptCount val="95"/>
                <c:pt idx="0">
                  <c:v>90.2</c:v>
                </c:pt>
                <c:pt idx="1">
                  <c:v>92.8</c:v>
                </c:pt>
                <c:pt idx="2">
                  <c:v>68.7</c:v>
                </c:pt>
                <c:pt idx="3">
                  <c:v>80.7</c:v>
                </c:pt>
                <c:pt idx="4">
                  <c:v>74.900000000000006</c:v>
                </c:pt>
                <c:pt idx="5">
                  <c:v>80.7</c:v>
                </c:pt>
                <c:pt idx="6">
                  <c:v>83.3</c:v>
                </c:pt>
                <c:pt idx="7">
                  <c:v>88.7</c:v>
                </c:pt>
                <c:pt idx="8">
                  <c:v>75.400000000000006</c:v>
                </c:pt>
                <c:pt idx="9">
                  <c:v>82.1</c:v>
                </c:pt>
                <c:pt idx="10">
                  <c:v>87.5</c:v>
                </c:pt>
                <c:pt idx="11">
                  <c:v>66.900000000000006</c:v>
                </c:pt>
                <c:pt idx="12">
                  <c:v>71.3</c:v>
                </c:pt>
                <c:pt idx="13">
                  <c:v>76.8</c:v>
                </c:pt>
                <c:pt idx="14">
                  <c:v>72.3</c:v>
                </c:pt>
                <c:pt idx="15">
                  <c:v>72.400000000000006</c:v>
                </c:pt>
                <c:pt idx="16">
                  <c:v>72</c:v>
                </c:pt>
                <c:pt idx="17">
                  <c:v>81</c:v>
                </c:pt>
                <c:pt idx="18">
                  <c:v>96.1</c:v>
                </c:pt>
                <c:pt idx="19">
                  <c:v>76.7</c:v>
                </c:pt>
                <c:pt idx="20">
                  <c:v>80.3</c:v>
                </c:pt>
                <c:pt idx="21">
                  <c:v>77.8</c:v>
                </c:pt>
                <c:pt idx="22">
                  <c:v>62.6</c:v>
                </c:pt>
                <c:pt idx="23">
                  <c:v>80.2</c:v>
                </c:pt>
                <c:pt idx="24">
                  <c:v>79.099999999999994</c:v>
                </c:pt>
                <c:pt idx="25">
                  <c:v>77.8</c:v>
                </c:pt>
                <c:pt idx="26">
                  <c:v>75.099999999999994</c:v>
                </c:pt>
                <c:pt idx="27">
                  <c:v>82.2</c:v>
                </c:pt>
                <c:pt idx="28">
                  <c:v>70.5</c:v>
                </c:pt>
                <c:pt idx="29">
                  <c:v>70.8</c:v>
                </c:pt>
                <c:pt idx="30">
                  <c:v>87.5</c:v>
                </c:pt>
                <c:pt idx="31">
                  <c:v>79.5</c:v>
                </c:pt>
                <c:pt idx="32">
                  <c:v>80.8</c:v>
                </c:pt>
                <c:pt idx="33">
                  <c:v>79.599999999999994</c:v>
                </c:pt>
                <c:pt idx="34">
                  <c:v>88.9</c:v>
                </c:pt>
                <c:pt idx="35">
                  <c:v>85.9</c:v>
                </c:pt>
                <c:pt idx="36">
                  <c:v>82.3</c:v>
                </c:pt>
                <c:pt idx="37">
                  <c:v>76.7</c:v>
                </c:pt>
                <c:pt idx="38">
                  <c:v>79.900000000000006</c:v>
                </c:pt>
                <c:pt idx="39">
                  <c:v>86.2</c:v>
                </c:pt>
                <c:pt idx="40">
                  <c:v>79.2</c:v>
                </c:pt>
                <c:pt idx="41">
                  <c:v>83.4</c:v>
                </c:pt>
                <c:pt idx="42">
                  <c:v>85.2</c:v>
                </c:pt>
                <c:pt idx="43">
                  <c:v>77.8</c:v>
                </c:pt>
                <c:pt idx="44">
                  <c:v>80.2</c:v>
                </c:pt>
                <c:pt idx="45">
                  <c:v>71</c:v>
                </c:pt>
                <c:pt idx="46">
                  <c:v>87.2</c:v>
                </c:pt>
                <c:pt idx="47">
                  <c:v>82.9</c:v>
                </c:pt>
                <c:pt idx="48">
                  <c:v>73.5</c:v>
                </c:pt>
                <c:pt idx="49">
                  <c:v>74.599999999999994</c:v>
                </c:pt>
                <c:pt idx="50">
                  <c:v>75.099999999999994</c:v>
                </c:pt>
                <c:pt idx="51">
                  <c:v>85.1</c:v>
                </c:pt>
                <c:pt idx="52">
                  <c:v>74.900000000000006</c:v>
                </c:pt>
                <c:pt idx="53">
                  <c:v>84.6</c:v>
                </c:pt>
                <c:pt idx="54">
                  <c:v>81.7</c:v>
                </c:pt>
                <c:pt idx="55">
                  <c:v>81.400000000000006</c:v>
                </c:pt>
                <c:pt idx="56">
                  <c:v>83.8</c:v>
                </c:pt>
                <c:pt idx="57">
                  <c:v>88.5</c:v>
                </c:pt>
                <c:pt idx="58">
                  <c:v>84.9</c:v>
                </c:pt>
                <c:pt idx="59">
                  <c:v>84.3</c:v>
                </c:pt>
                <c:pt idx="60">
                  <c:v>78.2</c:v>
                </c:pt>
                <c:pt idx="61">
                  <c:v>80</c:v>
                </c:pt>
                <c:pt idx="62">
                  <c:v>74.8</c:v>
                </c:pt>
                <c:pt idx="63">
                  <c:v>78.5</c:v>
                </c:pt>
                <c:pt idx="64">
                  <c:v>71.8</c:v>
                </c:pt>
                <c:pt idx="65">
                  <c:v>69.900000000000006</c:v>
                </c:pt>
                <c:pt idx="66">
                  <c:v>82.7</c:v>
                </c:pt>
                <c:pt idx="67">
                  <c:v>74</c:v>
                </c:pt>
                <c:pt idx="68">
                  <c:v>84</c:v>
                </c:pt>
                <c:pt idx="69">
                  <c:v>84.7</c:v>
                </c:pt>
                <c:pt idx="70">
                  <c:v>78.2</c:v>
                </c:pt>
                <c:pt idx="71">
                  <c:v>85</c:v>
                </c:pt>
                <c:pt idx="72">
                  <c:v>80.099999999999994</c:v>
                </c:pt>
                <c:pt idx="73">
                  <c:v>85.3</c:v>
                </c:pt>
                <c:pt idx="74">
                  <c:v>79.7</c:v>
                </c:pt>
                <c:pt idx="75">
                  <c:v>79.599999999999994</c:v>
                </c:pt>
                <c:pt idx="76">
                  <c:v>78.900000000000006</c:v>
                </c:pt>
                <c:pt idx="77">
                  <c:v>78.5</c:v>
                </c:pt>
                <c:pt idx="78">
                  <c:v>72</c:v>
                </c:pt>
                <c:pt idx="79">
                  <c:v>74.2</c:v>
                </c:pt>
                <c:pt idx="80">
                  <c:v>71.7</c:v>
                </c:pt>
                <c:pt idx="81">
                  <c:v>80.7</c:v>
                </c:pt>
                <c:pt idx="82">
                  <c:v>84.1</c:v>
                </c:pt>
                <c:pt idx="83">
                  <c:v>87.4</c:v>
                </c:pt>
                <c:pt idx="84">
                  <c:v>77.400000000000006</c:v>
                </c:pt>
                <c:pt idx="85">
                  <c:v>84.7</c:v>
                </c:pt>
                <c:pt idx="86">
                  <c:v>78.8</c:v>
                </c:pt>
                <c:pt idx="87">
                  <c:v>92.7</c:v>
                </c:pt>
                <c:pt idx="88">
                  <c:v>88.8</c:v>
                </c:pt>
                <c:pt idx="89">
                  <c:v>86.6</c:v>
                </c:pt>
                <c:pt idx="90">
                  <c:v>77.900000000000006</c:v>
                </c:pt>
                <c:pt idx="91">
                  <c:v>86.1</c:v>
                </c:pt>
                <c:pt idx="92">
                  <c:v>89.9</c:v>
                </c:pt>
                <c:pt idx="93">
                  <c:v>83.1</c:v>
                </c:pt>
                <c:pt idx="94">
                  <c:v>82.6</c:v>
                </c:pt>
              </c:numCache>
            </c:numRef>
          </c:yVal>
          <c:smooth val="0"/>
          <c:extLst>
            <c:ext xmlns:c16="http://schemas.microsoft.com/office/drawing/2014/chart" uri="{C3380CC4-5D6E-409C-BE32-E72D297353CC}">
              <c16:uniqueId val="{00000000-FA83-4362-9046-F27C955EAD28}"/>
            </c:ext>
          </c:extLst>
        </c:ser>
        <c:dLbls>
          <c:showLegendKey val="0"/>
          <c:showVal val="0"/>
          <c:showCatName val="0"/>
          <c:showSerName val="0"/>
          <c:showPercent val="0"/>
          <c:showBubbleSize val="0"/>
        </c:dLbls>
        <c:axId val="396033360"/>
        <c:axId val="396031200"/>
      </c:scatterChart>
      <c:valAx>
        <c:axId val="396033360"/>
        <c:scaling>
          <c:orientation val="minMax"/>
          <c:max val="100"/>
          <c:min val="6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Undergrad Grade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031200"/>
        <c:crosses val="autoZero"/>
        <c:crossBetween val="midCat"/>
      </c:valAx>
      <c:valAx>
        <c:axId val="396031200"/>
        <c:scaling>
          <c:orientation val="minMax"/>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MBA Grade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0333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Correlation!$C$5</c:f>
              <c:strCache>
                <c:ptCount val="1"/>
                <c:pt idx="0">
                  <c:v>MBA Grade</c:v>
                </c:pt>
              </c:strCache>
            </c:strRef>
          </c:tx>
          <c:spPr>
            <a:ln w="19050" cap="rnd">
              <a:noFill/>
              <a:round/>
            </a:ln>
            <a:effectLst/>
          </c:spPr>
          <c:marker>
            <c:symbol val="circle"/>
            <c:size val="5"/>
            <c:spPr>
              <a:solidFill>
                <a:schemeClr val="accent1"/>
              </a:solidFill>
              <a:ln w="9525">
                <a:solidFill>
                  <a:schemeClr val="accent1"/>
                </a:solidFill>
              </a:ln>
              <a:effectLst/>
            </c:spPr>
          </c:marker>
          <c:xVal>
            <c:numRef>
              <c:f>Correlation!$B$6:$B$100</c:f>
              <c:numCache>
                <c:formatCode>General</c:formatCode>
                <c:ptCount val="95"/>
                <c:pt idx="0">
                  <c:v>68.400000000000006</c:v>
                </c:pt>
                <c:pt idx="1">
                  <c:v>62.1</c:v>
                </c:pt>
                <c:pt idx="2">
                  <c:v>70.2</c:v>
                </c:pt>
                <c:pt idx="3">
                  <c:v>75.099999999999994</c:v>
                </c:pt>
                <c:pt idx="4">
                  <c:v>60.9</c:v>
                </c:pt>
                <c:pt idx="5">
                  <c:v>74.5</c:v>
                </c:pt>
                <c:pt idx="6">
                  <c:v>76.400000000000006</c:v>
                </c:pt>
                <c:pt idx="7">
                  <c:v>82.6</c:v>
                </c:pt>
                <c:pt idx="8">
                  <c:v>76.900000000000006</c:v>
                </c:pt>
                <c:pt idx="9">
                  <c:v>83.3</c:v>
                </c:pt>
                <c:pt idx="10">
                  <c:v>75.8</c:v>
                </c:pt>
                <c:pt idx="11">
                  <c:v>76</c:v>
                </c:pt>
                <c:pt idx="12">
                  <c:v>62.8</c:v>
                </c:pt>
                <c:pt idx="13">
                  <c:v>82.8</c:v>
                </c:pt>
                <c:pt idx="14">
                  <c:v>76</c:v>
                </c:pt>
                <c:pt idx="15">
                  <c:v>76.900000000000006</c:v>
                </c:pt>
                <c:pt idx="16">
                  <c:v>75.8</c:v>
                </c:pt>
                <c:pt idx="17">
                  <c:v>78</c:v>
                </c:pt>
                <c:pt idx="18">
                  <c:v>82.4</c:v>
                </c:pt>
                <c:pt idx="19">
                  <c:v>76.2</c:v>
                </c:pt>
                <c:pt idx="20">
                  <c:v>62.5</c:v>
                </c:pt>
                <c:pt idx="21">
                  <c:v>78</c:v>
                </c:pt>
                <c:pt idx="22">
                  <c:v>66.5</c:v>
                </c:pt>
                <c:pt idx="23">
                  <c:v>63.5</c:v>
                </c:pt>
                <c:pt idx="24">
                  <c:v>82.6</c:v>
                </c:pt>
                <c:pt idx="25">
                  <c:v>79.2</c:v>
                </c:pt>
                <c:pt idx="26">
                  <c:v>75</c:v>
                </c:pt>
                <c:pt idx="27">
                  <c:v>74.400000000000006</c:v>
                </c:pt>
                <c:pt idx="28">
                  <c:v>67.900000000000006</c:v>
                </c:pt>
                <c:pt idx="29">
                  <c:v>76.8</c:v>
                </c:pt>
                <c:pt idx="30">
                  <c:v>83</c:v>
                </c:pt>
                <c:pt idx="31">
                  <c:v>88.9</c:v>
                </c:pt>
                <c:pt idx="32">
                  <c:v>76.5</c:v>
                </c:pt>
                <c:pt idx="33">
                  <c:v>79.900000000000006</c:v>
                </c:pt>
                <c:pt idx="34">
                  <c:v>70.400000000000006</c:v>
                </c:pt>
                <c:pt idx="35">
                  <c:v>83.4</c:v>
                </c:pt>
                <c:pt idx="36">
                  <c:v>79.2</c:v>
                </c:pt>
                <c:pt idx="37">
                  <c:v>61.2</c:v>
                </c:pt>
                <c:pt idx="38">
                  <c:v>64</c:v>
                </c:pt>
                <c:pt idx="39">
                  <c:v>68</c:v>
                </c:pt>
                <c:pt idx="40">
                  <c:v>78.5</c:v>
                </c:pt>
                <c:pt idx="41">
                  <c:v>83</c:v>
                </c:pt>
                <c:pt idx="42">
                  <c:v>75.2</c:v>
                </c:pt>
                <c:pt idx="43">
                  <c:v>68.099999999999994</c:v>
                </c:pt>
                <c:pt idx="44">
                  <c:v>93.6</c:v>
                </c:pt>
                <c:pt idx="45">
                  <c:v>75.599999999999994</c:v>
                </c:pt>
                <c:pt idx="46">
                  <c:v>82.3</c:v>
                </c:pt>
                <c:pt idx="47">
                  <c:v>71.400000000000006</c:v>
                </c:pt>
                <c:pt idx="48">
                  <c:v>71.900000000000006</c:v>
                </c:pt>
                <c:pt idx="49">
                  <c:v>79.099999999999994</c:v>
                </c:pt>
                <c:pt idx="50">
                  <c:v>88.7</c:v>
                </c:pt>
                <c:pt idx="51">
                  <c:v>69.400000000000006</c:v>
                </c:pt>
                <c:pt idx="52">
                  <c:v>80.3</c:v>
                </c:pt>
                <c:pt idx="53">
                  <c:v>83</c:v>
                </c:pt>
                <c:pt idx="54">
                  <c:v>74.099999999999994</c:v>
                </c:pt>
                <c:pt idx="55">
                  <c:v>79.400000000000006</c:v>
                </c:pt>
                <c:pt idx="56">
                  <c:v>88.1</c:v>
                </c:pt>
                <c:pt idx="57">
                  <c:v>74.599999999999994</c:v>
                </c:pt>
                <c:pt idx="58">
                  <c:v>87.1</c:v>
                </c:pt>
                <c:pt idx="59">
                  <c:v>79.7</c:v>
                </c:pt>
                <c:pt idx="60">
                  <c:v>82.1</c:v>
                </c:pt>
                <c:pt idx="61">
                  <c:v>70.2</c:v>
                </c:pt>
                <c:pt idx="62">
                  <c:v>81.7</c:v>
                </c:pt>
                <c:pt idx="63">
                  <c:v>76.099999999999994</c:v>
                </c:pt>
                <c:pt idx="64">
                  <c:v>65.400000000000006</c:v>
                </c:pt>
                <c:pt idx="65">
                  <c:v>70.099999999999994</c:v>
                </c:pt>
                <c:pt idx="66">
                  <c:v>75.3</c:v>
                </c:pt>
                <c:pt idx="67">
                  <c:v>68.7</c:v>
                </c:pt>
                <c:pt idx="68">
                  <c:v>75.7</c:v>
                </c:pt>
                <c:pt idx="69">
                  <c:v>68.7</c:v>
                </c:pt>
                <c:pt idx="70">
                  <c:v>70.400000000000006</c:v>
                </c:pt>
                <c:pt idx="71">
                  <c:v>68.3</c:v>
                </c:pt>
                <c:pt idx="72">
                  <c:v>71.7</c:v>
                </c:pt>
                <c:pt idx="73">
                  <c:v>70.900000000000006</c:v>
                </c:pt>
                <c:pt idx="74">
                  <c:v>66.3</c:v>
                </c:pt>
                <c:pt idx="75">
                  <c:v>65.3</c:v>
                </c:pt>
                <c:pt idx="76">
                  <c:v>75.7</c:v>
                </c:pt>
                <c:pt idx="77">
                  <c:v>66</c:v>
                </c:pt>
                <c:pt idx="78">
                  <c:v>78.900000000000006</c:v>
                </c:pt>
                <c:pt idx="79">
                  <c:v>74</c:v>
                </c:pt>
                <c:pt idx="80">
                  <c:v>74.599999999999994</c:v>
                </c:pt>
                <c:pt idx="81">
                  <c:v>79.3</c:v>
                </c:pt>
                <c:pt idx="82">
                  <c:v>70.099999999999994</c:v>
                </c:pt>
                <c:pt idx="83">
                  <c:v>88.8</c:v>
                </c:pt>
                <c:pt idx="84">
                  <c:v>66</c:v>
                </c:pt>
                <c:pt idx="85">
                  <c:v>82.9</c:v>
                </c:pt>
                <c:pt idx="86">
                  <c:v>100</c:v>
                </c:pt>
                <c:pt idx="87">
                  <c:v>75.599999999999994</c:v>
                </c:pt>
                <c:pt idx="88">
                  <c:v>67.5</c:v>
                </c:pt>
                <c:pt idx="89">
                  <c:v>68.7</c:v>
                </c:pt>
                <c:pt idx="90">
                  <c:v>76</c:v>
                </c:pt>
                <c:pt idx="91">
                  <c:v>67.7</c:v>
                </c:pt>
                <c:pt idx="92">
                  <c:v>75.3</c:v>
                </c:pt>
                <c:pt idx="93">
                  <c:v>68.099999999999994</c:v>
                </c:pt>
                <c:pt idx="94">
                  <c:v>63.3</c:v>
                </c:pt>
              </c:numCache>
            </c:numRef>
          </c:xVal>
          <c:yVal>
            <c:numRef>
              <c:f>Correlation!$C$6:$C$100</c:f>
              <c:numCache>
                <c:formatCode>General</c:formatCode>
                <c:ptCount val="95"/>
                <c:pt idx="0">
                  <c:v>90.2</c:v>
                </c:pt>
                <c:pt idx="1">
                  <c:v>92.8</c:v>
                </c:pt>
                <c:pt idx="2">
                  <c:v>68.7</c:v>
                </c:pt>
                <c:pt idx="3">
                  <c:v>80.7</c:v>
                </c:pt>
                <c:pt idx="4">
                  <c:v>74.900000000000006</c:v>
                </c:pt>
                <c:pt idx="5">
                  <c:v>80.7</c:v>
                </c:pt>
                <c:pt idx="6">
                  <c:v>83.3</c:v>
                </c:pt>
                <c:pt idx="7">
                  <c:v>88.7</c:v>
                </c:pt>
                <c:pt idx="8">
                  <c:v>75.400000000000006</c:v>
                </c:pt>
                <c:pt idx="9">
                  <c:v>82.1</c:v>
                </c:pt>
                <c:pt idx="10">
                  <c:v>87.5</c:v>
                </c:pt>
                <c:pt idx="11">
                  <c:v>66.900000000000006</c:v>
                </c:pt>
                <c:pt idx="12">
                  <c:v>71.3</c:v>
                </c:pt>
                <c:pt idx="13">
                  <c:v>76.8</c:v>
                </c:pt>
                <c:pt idx="14">
                  <c:v>72.3</c:v>
                </c:pt>
                <c:pt idx="15">
                  <c:v>72.400000000000006</c:v>
                </c:pt>
                <c:pt idx="16">
                  <c:v>72</c:v>
                </c:pt>
                <c:pt idx="17">
                  <c:v>81</c:v>
                </c:pt>
                <c:pt idx="18">
                  <c:v>96.1</c:v>
                </c:pt>
                <c:pt idx="19">
                  <c:v>76.7</c:v>
                </c:pt>
                <c:pt idx="20">
                  <c:v>80.3</c:v>
                </c:pt>
                <c:pt idx="21">
                  <c:v>77.8</c:v>
                </c:pt>
                <c:pt idx="22">
                  <c:v>62.6</c:v>
                </c:pt>
                <c:pt idx="23">
                  <c:v>80.2</c:v>
                </c:pt>
                <c:pt idx="24">
                  <c:v>79.099999999999994</c:v>
                </c:pt>
                <c:pt idx="25">
                  <c:v>77.8</c:v>
                </c:pt>
                <c:pt idx="26">
                  <c:v>75.099999999999994</c:v>
                </c:pt>
                <c:pt idx="27">
                  <c:v>82.2</c:v>
                </c:pt>
                <c:pt idx="28">
                  <c:v>70.5</c:v>
                </c:pt>
                <c:pt idx="29">
                  <c:v>70.8</c:v>
                </c:pt>
                <c:pt idx="30">
                  <c:v>87.5</c:v>
                </c:pt>
                <c:pt idx="31">
                  <c:v>79.5</c:v>
                </c:pt>
                <c:pt idx="32">
                  <c:v>80.8</c:v>
                </c:pt>
                <c:pt idx="33">
                  <c:v>79.599999999999994</c:v>
                </c:pt>
                <c:pt idx="34">
                  <c:v>88.9</c:v>
                </c:pt>
                <c:pt idx="35">
                  <c:v>85.9</c:v>
                </c:pt>
                <c:pt idx="36">
                  <c:v>82.3</c:v>
                </c:pt>
                <c:pt idx="37">
                  <c:v>76.7</c:v>
                </c:pt>
                <c:pt idx="38">
                  <c:v>79.900000000000006</c:v>
                </c:pt>
                <c:pt idx="39">
                  <c:v>86.2</c:v>
                </c:pt>
                <c:pt idx="40">
                  <c:v>79.2</c:v>
                </c:pt>
                <c:pt idx="41">
                  <c:v>83.4</c:v>
                </c:pt>
                <c:pt idx="42">
                  <c:v>85.2</c:v>
                </c:pt>
                <c:pt idx="43">
                  <c:v>77.8</c:v>
                </c:pt>
                <c:pt idx="44">
                  <c:v>80.2</c:v>
                </c:pt>
                <c:pt idx="45">
                  <c:v>71</c:v>
                </c:pt>
                <c:pt idx="46">
                  <c:v>87.2</c:v>
                </c:pt>
                <c:pt idx="47">
                  <c:v>82.9</c:v>
                </c:pt>
                <c:pt idx="48">
                  <c:v>73.5</c:v>
                </c:pt>
                <c:pt idx="49">
                  <c:v>74.599999999999994</c:v>
                </c:pt>
                <c:pt idx="50">
                  <c:v>75.099999999999994</c:v>
                </c:pt>
                <c:pt idx="51">
                  <c:v>85.1</c:v>
                </c:pt>
                <c:pt idx="52">
                  <c:v>74.900000000000006</c:v>
                </c:pt>
                <c:pt idx="53">
                  <c:v>84.6</c:v>
                </c:pt>
                <c:pt idx="54">
                  <c:v>81.7</c:v>
                </c:pt>
                <c:pt idx="55">
                  <c:v>81.400000000000006</c:v>
                </c:pt>
                <c:pt idx="56">
                  <c:v>83.8</c:v>
                </c:pt>
                <c:pt idx="57">
                  <c:v>88.5</c:v>
                </c:pt>
                <c:pt idx="58">
                  <c:v>84.9</c:v>
                </c:pt>
                <c:pt idx="59">
                  <c:v>84.3</c:v>
                </c:pt>
                <c:pt idx="60">
                  <c:v>78.2</c:v>
                </c:pt>
                <c:pt idx="61">
                  <c:v>80</c:v>
                </c:pt>
                <c:pt idx="62">
                  <c:v>74.8</c:v>
                </c:pt>
                <c:pt idx="63">
                  <c:v>78.5</c:v>
                </c:pt>
                <c:pt idx="64">
                  <c:v>71.8</c:v>
                </c:pt>
                <c:pt idx="65">
                  <c:v>69.900000000000006</c:v>
                </c:pt>
                <c:pt idx="66">
                  <c:v>82.7</c:v>
                </c:pt>
                <c:pt idx="67">
                  <c:v>74</c:v>
                </c:pt>
                <c:pt idx="68">
                  <c:v>84</c:v>
                </c:pt>
                <c:pt idx="69">
                  <c:v>84.7</c:v>
                </c:pt>
                <c:pt idx="70">
                  <c:v>78.2</c:v>
                </c:pt>
                <c:pt idx="71">
                  <c:v>85</c:v>
                </c:pt>
                <c:pt idx="72">
                  <c:v>80.099999999999994</c:v>
                </c:pt>
                <c:pt idx="73">
                  <c:v>85.3</c:v>
                </c:pt>
                <c:pt idx="74">
                  <c:v>79.7</c:v>
                </c:pt>
                <c:pt idx="75">
                  <c:v>79.599999999999994</c:v>
                </c:pt>
                <c:pt idx="76">
                  <c:v>78.900000000000006</c:v>
                </c:pt>
                <c:pt idx="77">
                  <c:v>78.5</c:v>
                </c:pt>
                <c:pt idx="78">
                  <c:v>72</c:v>
                </c:pt>
                <c:pt idx="79">
                  <c:v>74.2</c:v>
                </c:pt>
                <c:pt idx="80">
                  <c:v>71.7</c:v>
                </c:pt>
                <c:pt idx="81">
                  <c:v>80.7</c:v>
                </c:pt>
                <c:pt idx="82">
                  <c:v>84.1</c:v>
                </c:pt>
                <c:pt idx="83">
                  <c:v>87.4</c:v>
                </c:pt>
                <c:pt idx="84">
                  <c:v>77.400000000000006</c:v>
                </c:pt>
                <c:pt idx="85">
                  <c:v>84.7</c:v>
                </c:pt>
                <c:pt idx="86">
                  <c:v>78.8</c:v>
                </c:pt>
                <c:pt idx="87">
                  <c:v>92.7</c:v>
                </c:pt>
                <c:pt idx="88">
                  <c:v>88.8</c:v>
                </c:pt>
                <c:pt idx="89">
                  <c:v>86.6</c:v>
                </c:pt>
                <c:pt idx="90">
                  <c:v>77.900000000000006</c:v>
                </c:pt>
                <c:pt idx="91">
                  <c:v>86.1</c:v>
                </c:pt>
                <c:pt idx="92">
                  <c:v>89.9</c:v>
                </c:pt>
                <c:pt idx="93">
                  <c:v>83.1</c:v>
                </c:pt>
                <c:pt idx="94">
                  <c:v>82.6</c:v>
                </c:pt>
              </c:numCache>
            </c:numRef>
          </c:yVal>
          <c:smooth val="0"/>
          <c:extLst>
            <c:ext xmlns:c16="http://schemas.microsoft.com/office/drawing/2014/chart" uri="{C3380CC4-5D6E-409C-BE32-E72D297353CC}">
              <c16:uniqueId val="{00000000-AA25-466C-A69F-BCB9C18AD3C6}"/>
            </c:ext>
          </c:extLst>
        </c:ser>
        <c:dLbls>
          <c:showLegendKey val="0"/>
          <c:showVal val="0"/>
          <c:showCatName val="0"/>
          <c:showSerName val="0"/>
          <c:showPercent val="0"/>
          <c:showBubbleSize val="0"/>
        </c:dLbls>
        <c:axId val="396021840"/>
        <c:axId val="396018960"/>
      </c:scatterChart>
      <c:valAx>
        <c:axId val="396021840"/>
        <c:scaling>
          <c:orientation val="minMax"/>
          <c:max val="100"/>
          <c:min val="6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Undergrad</a:t>
                </a:r>
                <a:r>
                  <a:rPr lang="en-GB" baseline="0"/>
                  <a:t> Grade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018960"/>
        <c:crosses val="autoZero"/>
        <c:crossBetween val="midCat"/>
      </c:valAx>
      <c:valAx>
        <c:axId val="396018960"/>
        <c:scaling>
          <c:orientation val="minMax"/>
          <c:max val="100"/>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MBA Grade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021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'Linear Relationships'!$F$5</c:f>
              <c:strCache>
                <c:ptCount val="1"/>
                <c:pt idx="0">
                  <c:v>Annual Salary</c:v>
                </c:pt>
              </c:strCache>
            </c:strRef>
          </c:tx>
          <c:spPr>
            <a:ln w="19050" cap="rnd">
              <a:noFill/>
              <a:round/>
            </a:ln>
            <a:effectLst/>
          </c:spPr>
          <c:marker>
            <c:symbol val="circle"/>
            <c:size val="5"/>
            <c:spPr>
              <a:solidFill>
                <a:schemeClr val="accent1"/>
              </a:solidFill>
              <a:ln w="9525">
                <a:solidFill>
                  <a:schemeClr val="accent1"/>
                </a:solidFill>
              </a:ln>
              <a:effectLst/>
            </c:spPr>
          </c:marker>
          <c:xVal>
            <c:numRef>
              <c:f>'Linear Relationships'!$C$6:$C$58</c:f>
              <c:numCache>
                <c:formatCode>General</c:formatCode>
                <c:ptCount val="53"/>
                <c:pt idx="0">
                  <c:v>90.2</c:v>
                </c:pt>
                <c:pt idx="1">
                  <c:v>68.7</c:v>
                </c:pt>
                <c:pt idx="2">
                  <c:v>83.3</c:v>
                </c:pt>
                <c:pt idx="3">
                  <c:v>88.7</c:v>
                </c:pt>
                <c:pt idx="4">
                  <c:v>75.400000000000006</c:v>
                </c:pt>
                <c:pt idx="5">
                  <c:v>82.1</c:v>
                </c:pt>
                <c:pt idx="6">
                  <c:v>66.900000000000006</c:v>
                </c:pt>
                <c:pt idx="7">
                  <c:v>76.8</c:v>
                </c:pt>
                <c:pt idx="8">
                  <c:v>72.3</c:v>
                </c:pt>
                <c:pt idx="9">
                  <c:v>72.400000000000006</c:v>
                </c:pt>
                <c:pt idx="10">
                  <c:v>81</c:v>
                </c:pt>
                <c:pt idx="11">
                  <c:v>77.8</c:v>
                </c:pt>
                <c:pt idx="12">
                  <c:v>79.099999999999994</c:v>
                </c:pt>
                <c:pt idx="13">
                  <c:v>77.8</c:v>
                </c:pt>
                <c:pt idx="14">
                  <c:v>75.099999999999994</c:v>
                </c:pt>
                <c:pt idx="15">
                  <c:v>70.8</c:v>
                </c:pt>
                <c:pt idx="16">
                  <c:v>79.599999999999994</c:v>
                </c:pt>
                <c:pt idx="17">
                  <c:v>85.9</c:v>
                </c:pt>
                <c:pt idx="18">
                  <c:v>82.3</c:v>
                </c:pt>
                <c:pt idx="19">
                  <c:v>79.2</c:v>
                </c:pt>
                <c:pt idx="20">
                  <c:v>83.4</c:v>
                </c:pt>
                <c:pt idx="21">
                  <c:v>85.2</c:v>
                </c:pt>
                <c:pt idx="22">
                  <c:v>80.2</c:v>
                </c:pt>
                <c:pt idx="23">
                  <c:v>87.2</c:v>
                </c:pt>
                <c:pt idx="24">
                  <c:v>73.5</c:v>
                </c:pt>
                <c:pt idx="25">
                  <c:v>74.599999999999994</c:v>
                </c:pt>
                <c:pt idx="26">
                  <c:v>75.099999999999994</c:v>
                </c:pt>
                <c:pt idx="27">
                  <c:v>74.900000000000006</c:v>
                </c:pt>
                <c:pt idx="28">
                  <c:v>84.6</c:v>
                </c:pt>
                <c:pt idx="29">
                  <c:v>81.7</c:v>
                </c:pt>
                <c:pt idx="30">
                  <c:v>81.400000000000006</c:v>
                </c:pt>
                <c:pt idx="31">
                  <c:v>83.8</c:v>
                </c:pt>
                <c:pt idx="32">
                  <c:v>88.5</c:v>
                </c:pt>
                <c:pt idx="33">
                  <c:v>84.9</c:v>
                </c:pt>
                <c:pt idx="34">
                  <c:v>84.3</c:v>
                </c:pt>
                <c:pt idx="35">
                  <c:v>78.2</c:v>
                </c:pt>
                <c:pt idx="36">
                  <c:v>74.8</c:v>
                </c:pt>
                <c:pt idx="37">
                  <c:v>78.5</c:v>
                </c:pt>
                <c:pt idx="38">
                  <c:v>82.7</c:v>
                </c:pt>
                <c:pt idx="39">
                  <c:v>84</c:v>
                </c:pt>
                <c:pt idx="40">
                  <c:v>78.2</c:v>
                </c:pt>
                <c:pt idx="41">
                  <c:v>79.7</c:v>
                </c:pt>
                <c:pt idx="42">
                  <c:v>78.5</c:v>
                </c:pt>
                <c:pt idx="43">
                  <c:v>72</c:v>
                </c:pt>
                <c:pt idx="44">
                  <c:v>80.7</c:v>
                </c:pt>
                <c:pt idx="45">
                  <c:v>87.4</c:v>
                </c:pt>
                <c:pt idx="46">
                  <c:v>77.400000000000006</c:v>
                </c:pt>
                <c:pt idx="47">
                  <c:v>84.7</c:v>
                </c:pt>
                <c:pt idx="48">
                  <c:v>78.8</c:v>
                </c:pt>
                <c:pt idx="49">
                  <c:v>88.8</c:v>
                </c:pt>
                <c:pt idx="50">
                  <c:v>77.900000000000006</c:v>
                </c:pt>
                <c:pt idx="51">
                  <c:v>86.1</c:v>
                </c:pt>
                <c:pt idx="52">
                  <c:v>83.1</c:v>
                </c:pt>
              </c:numCache>
            </c:numRef>
          </c:xVal>
          <c:yVal>
            <c:numRef>
              <c:f>'Linear Relationships'!$F$6:$F$58</c:f>
              <c:numCache>
                <c:formatCode>"$"#,##0_);[Red]\("$"#,##0\)</c:formatCode>
                <c:ptCount val="53"/>
                <c:pt idx="0">
                  <c:v>111000</c:v>
                </c:pt>
                <c:pt idx="1">
                  <c:v>107000</c:v>
                </c:pt>
                <c:pt idx="2">
                  <c:v>109000</c:v>
                </c:pt>
                <c:pt idx="3">
                  <c:v>148000</c:v>
                </c:pt>
                <c:pt idx="4">
                  <c:v>255500</c:v>
                </c:pt>
                <c:pt idx="5">
                  <c:v>103500</c:v>
                </c:pt>
                <c:pt idx="6">
                  <c:v>114500</c:v>
                </c:pt>
                <c:pt idx="7">
                  <c:v>124000</c:v>
                </c:pt>
                <c:pt idx="8">
                  <c:v>132500</c:v>
                </c:pt>
                <c:pt idx="9">
                  <c:v>99000</c:v>
                </c:pt>
                <c:pt idx="10">
                  <c:v>124000</c:v>
                </c:pt>
                <c:pt idx="11">
                  <c:v>82000</c:v>
                </c:pt>
                <c:pt idx="12">
                  <c:v>185000</c:v>
                </c:pt>
                <c:pt idx="13">
                  <c:v>89500</c:v>
                </c:pt>
                <c:pt idx="14">
                  <c:v>91500</c:v>
                </c:pt>
                <c:pt idx="15">
                  <c:v>113500</c:v>
                </c:pt>
                <c:pt idx="16">
                  <c:v>99000</c:v>
                </c:pt>
                <c:pt idx="17">
                  <c:v>75500</c:v>
                </c:pt>
                <c:pt idx="18">
                  <c:v>86000</c:v>
                </c:pt>
                <c:pt idx="19">
                  <c:v>156500</c:v>
                </c:pt>
                <c:pt idx="20">
                  <c:v>99500</c:v>
                </c:pt>
                <c:pt idx="21">
                  <c:v>148000</c:v>
                </c:pt>
                <c:pt idx="22">
                  <c:v>82000</c:v>
                </c:pt>
                <c:pt idx="23">
                  <c:v>103500</c:v>
                </c:pt>
                <c:pt idx="24">
                  <c:v>205500</c:v>
                </c:pt>
                <c:pt idx="25">
                  <c:v>103500</c:v>
                </c:pt>
                <c:pt idx="26">
                  <c:v>340000</c:v>
                </c:pt>
                <c:pt idx="27">
                  <c:v>103500</c:v>
                </c:pt>
                <c:pt idx="28">
                  <c:v>99500</c:v>
                </c:pt>
                <c:pt idx="29">
                  <c:v>103000</c:v>
                </c:pt>
                <c:pt idx="30">
                  <c:v>103500</c:v>
                </c:pt>
                <c:pt idx="31">
                  <c:v>165000</c:v>
                </c:pt>
                <c:pt idx="32">
                  <c:v>124500</c:v>
                </c:pt>
                <c:pt idx="33">
                  <c:v>103500</c:v>
                </c:pt>
                <c:pt idx="34">
                  <c:v>82500</c:v>
                </c:pt>
                <c:pt idx="35">
                  <c:v>93000</c:v>
                </c:pt>
                <c:pt idx="36">
                  <c:v>168000</c:v>
                </c:pt>
                <c:pt idx="37">
                  <c:v>96000</c:v>
                </c:pt>
                <c:pt idx="38">
                  <c:v>80000</c:v>
                </c:pt>
                <c:pt idx="39">
                  <c:v>124500</c:v>
                </c:pt>
                <c:pt idx="40">
                  <c:v>99000</c:v>
                </c:pt>
                <c:pt idx="41">
                  <c:v>124000</c:v>
                </c:pt>
                <c:pt idx="42">
                  <c:v>91500</c:v>
                </c:pt>
                <c:pt idx="43">
                  <c:v>144500</c:v>
                </c:pt>
                <c:pt idx="44">
                  <c:v>114500</c:v>
                </c:pt>
                <c:pt idx="45">
                  <c:v>104500</c:v>
                </c:pt>
                <c:pt idx="46">
                  <c:v>124000</c:v>
                </c:pt>
                <c:pt idx="47">
                  <c:v>113000</c:v>
                </c:pt>
                <c:pt idx="48">
                  <c:v>78000</c:v>
                </c:pt>
                <c:pt idx="49">
                  <c:v>109000</c:v>
                </c:pt>
                <c:pt idx="50">
                  <c:v>99500</c:v>
                </c:pt>
                <c:pt idx="51">
                  <c:v>107000</c:v>
                </c:pt>
                <c:pt idx="52">
                  <c:v>84000</c:v>
                </c:pt>
              </c:numCache>
            </c:numRef>
          </c:yVal>
          <c:smooth val="0"/>
          <c:extLst>
            <c:ext xmlns:c16="http://schemas.microsoft.com/office/drawing/2014/chart" uri="{C3380CC4-5D6E-409C-BE32-E72D297353CC}">
              <c16:uniqueId val="{00000000-B408-42F3-BB9A-17039D608110}"/>
            </c:ext>
          </c:extLst>
        </c:ser>
        <c:dLbls>
          <c:showLegendKey val="0"/>
          <c:showVal val="0"/>
          <c:showCatName val="0"/>
          <c:showSerName val="0"/>
          <c:showPercent val="0"/>
          <c:showBubbleSize val="0"/>
        </c:dLbls>
        <c:axId val="745460144"/>
        <c:axId val="745464104"/>
      </c:scatterChart>
      <c:valAx>
        <c:axId val="745460144"/>
        <c:scaling>
          <c:orientation val="minMax"/>
          <c:max val="100"/>
          <c:min val="6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Undergrad Grade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64104"/>
        <c:crosses val="autoZero"/>
        <c:crossBetween val="midCat"/>
      </c:valAx>
      <c:valAx>
        <c:axId val="745464104"/>
        <c:scaling>
          <c:orientation val="minMax"/>
          <c:min val="5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Annual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601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Employability</a:t>
            </a:r>
            <a:r>
              <a:rPr lang="en-US" b="0" baseline="0"/>
              <a:t> Scores</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'Linear Regression Prediction'!$C$5</c:f>
              <c:strCache>
                <c:ptCount val="1"/>
                <c:pt idx="0">
                  <c:v>Employability (After)</c:v>
                </c:pt>
              </c:strCache>
            </c:strRef>
          </c:tx>
          <c:spPr>
            <a:ln w="19050" cap="rnd">
              <a:noFill/>
              <a:round/>
            </a:ln>
            <a:effectLst/>
          </c:spPr>
          <c:marker>
            <c:symbol val="circle"/>
            <c:size val="5"/>
            <c:spPr>
              <a:solidFill>
                <a:schemeClr val="accent2">
                  <a:alpha val="70000"/>
                </a:schemeClr>
              </a:solidFill>
              <a:ln w="9525">
                <a:noFill/>
              </a:ln>
              <a:effectLst/>
            </c:spPr>
          </c:marker>
          <c:trendline>
            <c:spPr>
              <a:ln w="19050" cap="rnd">
                <a:solidFill>
                  <a:schemeClr val="accent1">
                    <a:lumMod val="75000"/>
                  </a:schemeClr>
                </a:solidFill>
                <a:prstDash val="solid"/>
              </a:ln>
              <a:effectLst/>
            </c:spPr>
            <c:trendlineType val="linear"/>
            <c:dispRSqr val="0"/>
            <c:dispEq val="1"/>
            <c:trendlineLbl>
              <c:layout>
                <c:manualLayout>
                  <c:x val="0.13745819358001662"/>
                  <c:y val="0.47643518518518518"/>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xVal>
            <c:numRef>
              <c:f>'Linear Regression Prediction'!$B$6:$B$100</c:f>
              <c:numCache>
                <c:formatCode>General</c:formatCode>
                <c:ptCount val="95"/>
                <c:pt idx="0">
                  <c:v>252</c:v>
                </c:pt>
                <c:pt idx="1">
                  <c:v>423</c:v>
                </c:pt>
                <c:pt idx="2">
                  <c:v>101</c:v>
                </c:pt>
                <c:pt idx="3">
                  <c:v>288</c:v>
                </c:pt>
                <c:pt idx="4">
                  <c:v>248</c:v>
                </c:pt>
                <c:pt idx="5">
                  <c:v>145</c:v>
                </c:pt>
                <c:pt idx="6">
                  <c:v>401</c:v>
                </c:pt>
                <c:pt idx="7">
                  <c:v>287</c:v>
                </c:pt>
                <c:pt idx="8">
                  <c:v>275</c:v>
                </c:pt>
                <c:pt idx="9">
                  <c:v>254</c:v>
                </c:pt>
                <c:pt idx="10">
                  <c:v>182</c:v>
                </c:pt>
                <c:pt idx="11">
                  <c:v>117</c:v>
                </c:pt>
                <c:pt idx="12">
                  <c:v>130</c:v>
                </c:pt>
                <c:pt idx="13">
                  <c:v>219</c:v>
                </c:pt>
                <c:pt idx="14">
                  <c:v>152</c:v>
                </c:pt>
                <c:pt idx="15">
                  <c:v>228</c:v>
                </c:pt>
                <c:pt idx="16">
                  <c:v>62</c:v>
                </c:pt>
                <c:pt idx="17">
                  <c:v>393</c:v>
                </c:pt>
                <c:pt idx="18">
                  <c:v>277</c:v>
                </c:pt>
                <c:pt idx="19">
                  <c:v>206</c:v>
                </c:pt>
                <c:pt idx="20">
                  <c:v>229</c:v>
                </c:pt>
                <c:pt idx="21">
                  <c:v>182</c:v>
                </c:pt>
                <c:pt idx="22">
                  <c:v>98</c:v>
                </c:pt>
                <c:pt idx="23">
                  <c:v>125</c:v>
                </c:pt>
                <c:pt idx="24">
                  <c:v>164</c:v>
                </c:pt>
                <c:pt idx="25">
                  <c:v>186</c:v>
                </c:pt>
                <c:pt idx="26">
                  <c:v>235</c:v>
                </c:pt>
                <c:pt idx="27">
                  <c:v>184</c:v>
                </c:pt>
                <c:pt idx="28">
                  <c:v>76</c:v>
                </c:pt>
                <c:pt idx="29">
                  <c:v>126</c:v>
                </c:pt>
                <c:pt idx="30">
                  <c:v>183</c:v>
                </c:pt>
                <c:pt idx="31">
                  <c:v>242</c:v>
                </c:pt>
                <c:pt idx="32">
                  <c:v>207</c:v>
                </c:pt>
                <c:pt idx="33">
                  <c:v>181</c:v>
                </c:pt>
                <c:pt idx="34">
                  <c:v>239</c:v>
                </c:pt>
                <c:pt idx="35">
                  <c:v>216</c:v>
                </c:pt>
                <c:pt idx="36">
                  <c:v>289</c:v>
                </c:pt>
                <c:pt idx="37">
                  <c:v>213</c:v>
                </c:pt>
                <c:pt idx="38">
                  <c:v>209</c:v>
                </c:pt>
                <c:pt idx="39">
                  <c:v>376</c:v>
                </c:pt>
                <c:pt idx="40">
                  <c:v>332</c:v>
                </c:pt>
                <c:pt idx="41">
                  <c:v>249</c:v>
                </c:pt>
                <c:pt idx="42">
                  <c:v>228</c:v>
                </c:pt>
                <c:pt idx="43">
                  <c:v>124</c:v>
                </c:pt>
                <c:pt idx="44">
                  <c:v>194</c:v>
                </c:pt>
                <c:pt idx="45">
                  <c:v>157</c:v>
                </c:pt>
                <c:pt idx="46">
                  <c:v>402</c:v>
                </c:pt>
                <c:pt idx="47">
                  <c:v>323</c:v>
                </c:pt>
                <c:pt idx="48">
                  <c:v>181</c:v>
                </c:pt>
                <c:pt idx="49">
                  <c:v>157</c:v>
                </c:pt>
                <c:pt idx="50">
                  <c:v>266</c:v>
                </c:pt>
                <c:pt idx="51">
                  <c:v>268</c:v>
                </c:pt>
                <c:pt idx="52">
                  <c:v>167</c:v>
                </c:pt>
                <c:pt idx="53">
                  <c:v>342</c:v>
                </c:pt>
                <c:pt idx="54">
                  <c:v>349</c:v>
                </c:pt>
                <c:pt idx="55">
                  <c:v>340</c:v>
                </c:pt>
                <c:pt idx="56">
                  <c:v>227</c:v>
                </c:pt>
                <c:pt idx="57">
                  <c:v>409</c:v>
                </c:pt>
                <c:pt idx="58">
                  <c:v>400</c:v>
                </c:pt>
                <c:pt idx="59">
                  <c:v>374</c:v>
                </c:pt>
                <c:pt idx="60">
                  <c:v>255</c:v>
                </c:pt>
                <c:pt idx="61">
                  <c:v>146</c:v>
                </c:pt>
                <c:pt idx="62">
                  <c:v>248</c:v>
                </c:pt>
                <c:pt idx="63">
                  <c:v>198</c:v>
                </c:pt>
                <c:pt idx="64">
                  <c:v>210</c:v>
                </c:pt>
                <c:pt idx="65">
                  <c:v>107</c:v>
                </c:pt>
                <c:pt idx="66">
                  <c:v>239</c:v>
                </c:pt>
                <c:pt idx="67">
                  <c:v>287</c:v>
                </c:pt>
                <c:pt idx="68">
                  <c:v>340</c:v>
                </c:pt>
                <c:pt idx="69">
                  <c:v>155</c:v>
                </c:pt>
                <c:pt idx="70">
                  <c:v>263</c:v>
                </c:pt>
                <c:pt idx="71">
                  <c:v>265</c:v>
                </c:pt>
                <c:pt idx="72">
                  <c:v>249</c:v>
                </c:pt>
                <c:pt idx="73">
                  <c:v>377</c:v>
                </c:pt>
                <c:pt idx="74">
                  <c:v>301</c:v>
                </c:pt>
                <c:pt idx="75">
                  <c:v>242</c:v>
                </c:pt>
                <c:pt idx="76">
                  <c:v>211</c:v>
                </c:pt>
                <c:pt idx="77">
                  <c:v>160</c:v>
                </c:pt>
                <c:pt idx="78">
                  <c:v>218</c:v>
                </c:pt>
                <c:pt idx="79">
                  <c:v>133</c:v>
                </c:pt>
                <c:pt idx="80">
                  <c:v>122</c:v>
                </c:pt>
                <c:pt idx="81">
                  <c:v>236</c:v>
                </c:pt>
                <c:pt idx="82">
                  <c:v>143</c:v>
                </c:pt>
                <c:pt idx="83">
                  <c:v>354</c:v>
                </c:pt>
                <c:pt idx="84">
                  <c:v>214</c:v>
                </c:pt>
                <c:pt idx="85">
                  <c:v>225</c:v>
                </c:pt>
                <c:pt idx="86">
                  <c:v>261</c:v>
                </c:pt>
                <c:pt idx="87">
                  <c:v>277</c:v>
                </c:pt>
                <c:pt idx="88">
                  <c:v>282</c:v>
                </c:pt>
                <c:pt idx="89">
                  <c:v>322</c:v>
                </c:pt>
                <c:pt idx="90">
                  <c:v>326</c:v>
                </c:pt>
                <c:pt idx="91">
                  <c:v>421</c:v>
                </c:pt>
                <c:pt idx="92">
                  <c:v>368</c:v>
                </c:pt>
                <c:pt idx="93">
                  <c:v>279</c:v>
                </c:pt>
                <c:pt idx="94">
                  <c:v>268</c:v>
                </c:pt>
              </c:numCache>
            </c:numRef>
          </c:xVal>
          <c:yVal>
            <c:numRef>
              <c:f>'Linear Regression Prediction'!$C$6:$C$100</c:f>
              <c:numCache>
                <c:formatCode>General</c:formatCode>
                <c:ptCount val="95"/>
                <c:pt idx="0">
                  <c:v>276</c:v>
                </c:pt>
                <c:pt idx="1">
                  <c:v>410</c:v>
                </c:pt>
                <c:pt idx="2">
                  <c:v>119</c:v>
                </c:pt>
                <c:pt idx="3">
                  <c:v>334</c:v>
                </c:pt>
                <c:pt idx="4">
                  <c:v>252</c:v>
                </c:pt>
                <c:pt idx="5">
                  <c:v>209</c:v>
                </c:pt>
                <c:pt idx="6">
                  <c:v>462</c:v>
                </c:pt>
                <c:pt idx="7">
                  <c:v>342</c:v>
                </c:pt>
                <c:pt idx="8">
                  <c:v>347</c:v>
                </c:pt>
                <c:pt idx="9">
                  <c:v>313</c:v>
                </c:pt>
                <c:pt idx="10">
                  <c:v>232</c:v>
                </c:pt>
                <c:pt idx="11">
                  <c:v>163</c:v>
                </c:pt>
                <c:pt idx="12">
                  <c:v>119</c:v>
                </c:pt>
                <c:pt idx="13">
                  <c:v>304</c:v>
                </c:pt>
                <c:pt idx="14">
                  <c:v>211</c:v>
                </c:pt>
                <c:pt idx="15">
                  <c:v>286</c:v>
                </c:pt>
                <c:pt idx="16">
                  <c:v>122</c:v>
                </c:pt>
                <c:pt idx="17">
                  <c:v>443</c:v>
                </c:pt>
                <c:pt idx="18">
                  <c:v>366</c:v>
                </c:pt>
                <c:pt idx="19">
                  <c:v>244</c:v>
                </c:pt>
                <c:pt idx="20">
                  <c:v>241</c:v>
                </c:pt>
                <c:pt idx="21">
                  <c:v>237</c:v>
                </c:pt>
                <c:pt idx="22">
                  <c:v>122</c:v>
                </c:pt>
                <c:pt idx="23">
                  <c:v>129</c:v>
                </c:pt>
                <c:pt idx="24">
                  <c:v>236</c:v>
                </c:pt>
                <c:pt idx="25">
                  <c:v>251</c:v>
                </c:pt>
                <c:pt idx="26">
                  <c:v>283</c:v>
                </c:pt>
                <c:pt idx="27">
                  <c:v>225</c:v>
                </c:pt>
                <c:pt idx="28">
                  <c:v>102</c:v>
                </c:pt>
                <c:pt idx="29">
                  <c:v>180</c:v>
                </c:pt>
                <c:pt idx="30">
                  <c:v>247</c:v>
                </c:pt>
                <c:pt idx="31">
                  <c:v>343</c:v>
                </c:pt>
                <c:pt idx="32">
                  <c:v>283</c:v>
                </c:pt>
                <c:pt idx="33">
                  <c:v>253</c:v>
                </c:pt>
                <c:pt idx="34">
                  <c:v>263</c:v>
                </c:pt>
                <c:pt idx="35">
                  <c:v>291</c:v>
                </c:pt>
                <c:pt idx="36">
                  <c:v>368</c:v>
                </c:pt>
                <c:pt idx="37">
                  <c:v>206</c:v>
                </c:pt>
                <c:pt idx="38">
                  <c:v>231</c:v>
                </c:pt>
                <c:pt idx="39">
                  <c:v>389</c:v>
                </c:pt>
                <c:pt idx="40">
                  <c:v>396</c:v>
                </c:pt>
                <c:pt idx="41">
                  <c:v>339</c:v>
                </c:pt>
                <c:pt idx="42">
                  <c:v>286</c:v>
                </c:pt>
                <c:pt idx="43">
                  <c:v>146</c:v>
                </c:pt>
                <c:pt idx="44">
                  <c:v>315</c:v>
                </c:pt>
                <c:pt idx="45">
                  <c:v>183</c:v>
                </c:pt>
                <c:pt idx="46">
                  <c:v>481</c:v>
                </c:pt>
                <c:pt idx="47">
                  <c:v>349</c:v>
                </c:pt>
                <c:pt idx="48">
                  <c:v>225</c:v>
                </c:pt>
                <c:pt idx="49">
                  <c:v>217</c:v>
                </c:pt>
                <c:pt idx="50">
                  <c:v>353</c:v>
                </c:pt>
                <c:pt idx="51">
                  <c:v>314</c:v>
                </c:pt>
                <c:pt idx="52">
                  <c:v>247</c:v>
                </c:pt>
                <c:pt idx="53">
                  <c:v>410</c:v>
                </c:pt>
                <c:pt idx="54">
                  <c:v>395</c:v>
                </c:pt>
                <c:pt idx="55">
                  <c:v>416</c:v>
                </c:pt>
                <c:pt idx="56">
                  <c:v>342</c:v>
                </c:pt>
                <c:pt idx="57">
                  <c:v>446</c:v>
                </c:pt>
                <c:pt idx="58">
                  <c:v>477</c:v>
                </c:pt>
                <c:pt idx="59">
                  <c:v>444</c:v>
                </c:pt>
                <c:pt idx="60">
                  <c:v>351</c:v>
                </c:pt>
                <c:pt idx="61">
                  <c:v>165</c:v>
                </c:pt>
                <c:pt idx="62">
                  <c:v>317</c:v>
                </c:pt>
                <c:pt idx="63">
                  <c:v>250</c:v>
                </c:pt>
                <c:pt idx="64">
                  <c:v>217</c:v>
                </c:pt>
                <c:pt idx="65">
                  <c:v>138</c:v>
                </c:pt>
                <c:pt idx="66">
                  <c:v>302</c:v>
                </c:pt>
                <c:pt idx="67">
                  <c:v>311</c:v>
                </c:pt>
                <c:pt idx="68">
                  <c:v>373</c:v>
                </c:pt>
                <c:pt idx="69">
                  <c:v>196</c:v>
                </c:pt>
                <c:pt idx="70">
                  <c:v>306</c:v>
                </c:pt>
                <c:pt idx="71">
                  <c:v>302</c:v>
                </c:pt>
                <c:pt idx="72">
                  <c:v>278</c:v>
                </c:pt>
                <c:pt idx="73">
                  <c:v>429</c:v>
                </c:pt>
                <c:pt idx="74">
                  <c:v>338</c:v>
                </c:pt>
                <c:pt idx="75">
                  <c:v>261</c:v>
                </c:pt>
                <c:pt idx="76">
                  <c:v>256</c:v>
                </c:pt>
                <c:pt idx="77">
                  <c:v>183</c:v>
                </c:pt>
                <c:pt idx="78">
                  <c:v>274</c:v>
                </c:pt>
                <c:pt idx="79">
                  <c:v>182</c:v>
                </c:pt>
                <c:pt idx="80">
                  <c:v>183</c:v>
                </c:pt>
                <c:pt idx="81">
                  <c:v>309</c:v>
                </c:pt>
                <c:pt idx="82">
                  <c:v>178</c:v>
                </c:pt>
                <c:pt idx="83">
                  <c:v>458</c:v>
                </c:pt>
                <c:pt idx="84">
                  <c:v>234</c:v>
                </c:pt>
                <c:pt idx="85">
                  <c:v>306</c:v>
                </c:pt>
                <c:pt idx="86">
                  <c:v>400</c:v>
                </c:pt>
                <c:pt idx="87">
                  <c:v>337</c:v>
                </c:pt>
                <c:pt idx="88">
                  <c:v>325</c:v>
                </c:pt>
                <c:pt idx="89">
                  <c:v>329</c:v>
                </c:pt>
                <c:pt idx="90">
                  <c:v>369</c:v>
                </c:pt>
                <c:pt idx="91">
                  <c:v>457</c:v>
                </c:pt>
                <c:pt idx="92">
                  <c:v>421</c:v>
                </c:pt>
                <c:pt idx="93">
                  <c:v>282</c:v>
                </c:pt>
                <c:pt idx="94">
                  <c:v>256</c:v>
                </c:pt>
              </c:numCache>
            </c:numRef>
          </c:yVal>
          <c:smooth val="0"/>
          <c:extLst>
            <c:ext xmlns:c16="http://schemas.microsoft.com/office/drawing/2014/chart" uri="{C3380CC4-5D6E-409C-BE32-E72D297353CC}">
              <c16:uniqueId val="{00000001-9E3A-4B83-A89A-08B220C80AEE}"/>
            </c:ext>
          </c:extLst>
        </c:ser>
        <c:dLbls>
          <c:showLegendKey val="0"/>
          <c:showVal val="0"/>
          <c:showCatName val="0"/>
          <c:showSerName val="0"/>
          <c:showPercent val="0"/>
          <c:showBubbleSize val="0"/>
        </c:dLbls>
        <c:axId val="466164800"/>
        <c:axId val="466153984"/>
      </c:scatterChart>
      <c:valAx>
        <c:axId val="466164800"/>
        <c:scaling>
          <c:orientation val="minMax"/>
          <c:max val="500"/>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Before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153984"/>
        <c:crosses val="autoZero"/>
        <c:crossBetween val="midCat"/>
      </c:valAx>
      <c:valAx>
        <c:axId val="466153984"/>
        <c:scaling>
          <c:orientation val="minMax"/>
          <c:max val="500"/>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After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164800"/>
        <c:crosses val="autoZero"/>
        <c:crossBetween val="midCat"/>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Employability</a:t>
            </a:r>
            <a:r>
              <a:rPr lang="en-US" b="0" baseline="0"/>
              <a:t> Scores</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'R-Squared'!$C$5</c:f>
              <c:strCache>
                <c:ptCount val="1"/>
                <c:pt idx="0">
                  <c:v>Employability (After)</c:v>
                </c:pt>
              </c:strCache>
            </c:strRef>
          </c:tx>
          <c:spPr>
            <a:ln w="19050" cap="rnd">
              <a:noFill/>
              <a:round/>
            </a:ln>
            <a:effectLst/>
          </c:spPr>
          <c:marker>
            <c:symbol val="circle"/>
            <c:size val="5"/>
            <c:spPr>
              <a:solidFill>
                <a:schemeClr val="accent2">
                  <a:alpha val="70000"/>
                </a:schemeClr>
              </a:solidFill>
              <a:ln w="9525">
                <a:noFill/>
              </a:ln>
              <a:effectLst/>
            </c:spPr>
          </c:marker>
          <c:trendline>
            <c:spPr>
              <a:ln w="19050" cap="rnd">
                <a:solidFill>
                  <a:schemeClr val="accent1">
                    <a:lumMod val="75000"/>
                  </a:schemeClr>
                </a:solidFill>
                <a:prstDash val="solid"/>
              </a:ln>
              <a:effectLst/>
            </c:spPr>
            <c:trendlineType val="linear"/>
            <c:dispRSqr val="1"/>
            <c:dispEq val="1"/>
            <c:trendlineLbl>
              <c:layout>
                <c:manualLayout>
                  <c:x val="0.13745819358001662"/>
                  <c:y val="0.42550925925925925"/>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xVal>
            <c:numRef>
              <c:f>'R-Squared'!$B$6:$B$100</c:f>
              <c:numCache>
                <c:formatCode>General</c:formatCode>
                <c:ptCount val="95"/>
                <c:pt idx="0">
                  <c:v>252</c:v>
                </c:pt>
                <c:pt idx="1">
                  <c:v>423</c:v>
                </c:pt>
                <c:pt idx="2">
                  <c:v>101</c:v>
                </c:pt>
                <c:pt idx="3">
                  <c:v>288</c:v>
                </c:pt>
                <c:pt idx="4">
                  <c:v>248</c:v>
                </c:pt>
                <c:pt idx="5">
                  <c:v>145</c:v>
                </c:pt>
                <c:pt idx="6">
                  <c:v>401</c:v>
                </c:pt>
                <c:pt idx="7">
                  <c:v>287</c:v>
                </c:pt>
                <c:pt idx="8">
                  <c:v>275</c:v>
                </c:pt>
                <c:pt idx="9">
                  <c:v>254</c:v>
                </c:pt>
                <c:pt idx="10">
                  <c:v>182</c:v>
                </c:pt>
                <c:pt idx="11">
                  <c:v>117</c:v>
                </c:pt>
                <c:pt idx="12">
                  <c:v>130</c:v>
                </c:pt>
                <c:pt idx="13">
                  <c:v>219</c:v>
                </c:pt>
                <c:pt idx="14">
                  <c:v>152</c:v>
                </c:pt>
                <c:pt idx="15">
                  <c:v>228</c:v>
                </c:pt>
                <c:pt idx="16">
                  <c:v>62</c:v>
                </c:pt>
                <c:pt idx="17">
                  <c:v>393</c:v>
                </c:pt>
                <c:pt idx="18">
                  <c:v>277</c:v>
                </c:pt>
                <c:pt idx="19">
                  <c:v>206</c:v>
                </c:pt>
                <c:pt idx="20">
                  <c:v>229</c:v>
                </c:pt>
                <c:pt idx="21">
                  <c:v>182</c:v>
                </c:pt>
                <c:pt idx="22">
                  <c:v>98</c:v>
                </c:pt>
                <c:pt idx="23">
                  <c:v>125</c:v>
                </c:pt>
                <c:pt idx="24">
                  <c:v>164</c:v>
                </c:pt>
                <c:pt idx="25">
                  <c:v>186</c:v>
                </c:pt>
                <c:pt idx="26">
                  <c:v>235</c:v>
                </c:pt>
                <c:pt idx="27">
                  <c:v>184</c:v>
                </c:pt>
                <c:pt idx="28">
                  <c:v>76</c:v>
                </c:pt>
                <c:pt idx="29">
                  <c:v>126</c:v>
                </c:pt>
                <c:pt idx="30">
                  <c:v>183</c:v>
                </c:pt>
                <c:pt idx="31">
                  <c:v>242</c:v>
                </c:pt>
                <c:pt idx="32">
                  <c:v>207</c:v>
                </c:pt>
                <c:pt idx="33">
                  <c:v>181</c:v>
                </c:pt>
                <c:pt idx="34">
                  <c:v>239</c:v>
                </c:pt>
                <c:pt idx="35">
                  <c:v>216</c:v>
                </c:pt>
                <c:pt idx="36">
                  <c:v>289</c:v>
                </c:pt>
                <c:pt idx="37">
                  <c:v>213</c:v>
                </c:pt>
                <c:pt idx="38">
                  <c:v>209</c:v>
                </c:pt>
                <c:pt idx="39">
                  <c:v>376</c:v>
                </c:pt>
                <c:pt idx="40">
                  <c:v>332</c:v>
                </c:pt>
                <c:pt idx="41">
                  <c:v>249</c:v>
                </c:pt>
                <c:pt idx="42">
                  <c:v>228</c:v>
                </c:pt>
                <c:pt idx="43">
                  <c:v>124</c:v>
                </c:pt>
                <c:pt idx="44">
                  <c:v>194</c:v>
                </c:pt>
                <c:pt idx="45">
                  <c:v>157</c:v>
                </c:pt>
                <c:pt idx="46">
                  <c:v>402</c:v>
                </c:pt>
                <c:pt idx="47">
                  <c:v>323</c:v>
                </c:pt>
                <c:pt idx="48">
                  <c:v>181</c:v>
                </c:pt>
                <c:pt idx="49">
                  <c:v>157</c:v>
                </c:pt>
                <c:pt idx="50">
                  <c:v>266</c:v>
                </c:pt>
                <c:pt idx="51">
                  <c:v>268</c:v>
                </c:pt>
                <c:pt idx="52">
                  <c:v>167</c:v>
                </c:pt>
                <c:pt idx="53">
                  <c:v>342</c:v>
                </c:pt>
                <c:pt idx="54">
                  <c:v>349</c:v>
                </c:pt>
                <c:pt idx="55">
                  <c:v>340</c:v>
                </c:pt>
                <c:pt idx="56">
                  <c:v>227</c:v>
                </c:pt>
                <c:pt idx="57">
                  <c:v>409</c:v>
                </c:pt>
                <c:pt idx="58">
                  <c:v>400</c:v>
                </c:pt>
                <c:pt idx="59">
                  <c:v>374</c:v>
                </c:pt>
                <c:pt idx="60">
                  <c:v>255</c:v>
                </c:pt>
                <c:pt idx="61">
                  <c:v>146</c:v>
                </c:pt>
                <c:pt idx="62">
                  <c:v>248</c:v>
                </c:pt>
                <c:pt idx="63">
                  <c:v>198</c:v>
                </c:pt>
                <c:pt idx="64">
                  <c:v>210</c:v>
                </c:pt>
                <c:pt idx="65">
                  <c:v>107</c:v>
                </c:pt>
                <c:pt idx="66">
                  <c:v>239</c:v>
                </c:pt>
                <c:pt idx="67">
                  <c:v>287</c:v>
                </c:pt>
                <c:pt idx="68">
                  <c:v>340</c:v>
                </c:pt>
                <c:pt idx="69">
                  <c:v>155</c:v>
                </c:pt>
                <c:pt idx="70">
                  <c:v>263</c:v>
                </c:pt>
                <c:pt idx="71">
                  <c:v>265</c:v>
                </c:pt>
                <c:pt idx="72">
                  <c:v>249</c:v>
                </c:pt>
                <c:pt idx="73">
                  <c:v>377</c:v>
                </c:pt>
                <c:pt idx="74">
                  <c:v>301</c:v>
                </c:pt>
                <c:pt idx="75">
                  <c:v>242</c:v>
                </c:pt>
                <c:pt idx="76">
                  <c:v>211</c:v>
                </c:pt>
                <c:pt idx="77">
                  <c:v>160</c:v>
                </c:pt>
                <c:pt idx="78">
                  <c:v>218</c:v>
                </c:pt>
                <c:pt idx="79">
                  <c:v>133</c:v>
                </c:pt>
                <c:pt idx="80">
                  <c:v>122</c:v>
                </c:pt>
                <c:pt idx="81">
                  <c:v>236</c:v>
                </c:pt>
                <c:pt idx="82">
                  <c:v>143</c:v>
                </c:pt>
                <c:pt idx="83">
                  <c:v>354</c:v>
                </c:pt>
                <c:pt idx="84">
                  <c:v>214</c:v>
                </c:pt>
                <c:pt idx="85">
                  <c:v>225</c:v>
                </c:pt>
                <c:pt idx="86">
                  <c:v>261</c:v>
                </c:pt>
                <c:pt idx="87">
                  <c:v>277</c:v>
                </c:pt>
                <c:pt idx="88">
                  <c:v>282</c:v>
                </c:pt>
                <c:pt idx="89">
                  <c:v>322</c:v>
                </c:pt>
                <c:pt idx="90">
                  <c:v>326</c:v>
                </c:pt>
                <c:pt idx="91">
                  <c:v>421</c:v>
                </c:pt>
                <c:pt idx="92">
                  <c:v>368</c:v>
                </c:pt>
                <c:pt idx="93">
                  <c:v>279</c:v>
                </c:pt>
                <c:pt idx="94">
                  <c:v>268</c:v>
                </c:pt>
              </c:numCache>
            </c:numRef>
          </c:xVal>
          <c:yVal>
            <c:numRef>
              <c:f>'R-Squared'!$C$6:$C$100</c:f>
              <c:numCache>
                <c:formatCode>General</c:formatCode>
                <c:ptCount val="95"/>
                <c:pt idx="0">
                  <c:v>276</c:v>
                </c:pt>
                <c:pt idx="1">
                  <c:v>410</c:v>
                </c:pt>
                <c:pt idx="2">
                  <c:v>119</c:v>
                </c:pt>
                <c:pt idx="3">
                  <c:v>334</c:v>
                </c:pt>
                <c:pt idx="4">
                  <c:v>252</c:v>
                </c:pt>
                <c:pt idx="5">
                  <c:v>209</c:v>
                </c:pt>
                <c:pt idx="6">
                  <c:v>462</c:v>
                </c:pt>
                <c:pt idx="7">
                  <c:v>342</c:v>
                </c:pt>
                <c:pt idx="8">
                  <c:v>347</c:v>
                </c:pt>
                <c:pt idx="9">
                  <c:v>313</c:v>
                </c:pt>
                <c:pt idx="10">
                  <c:v>232</c:v>
                </c:pt>
                <c:pt idx="11">
                  <c:v>163</c:v>
                </c:pt>
                <c:pt idx="12">
                  <c:v>119</c:v>
                </c:pt>
                <c:pt idx="13">
                  <c:v>304</c:v>
                </c:pt>
                <c:pt idx="14">
                  <c:v>211</c:v>
                </c:pt>
                <c:pt idx="15">
                  <c:v>286</c:v>
                </c:pt>
                <c:pt idx="16">
                  <c:v>122</c:v>
                </c:pt>
                <c:pt idx="17">
                  <c:v>443</c:v>
                </c:pt>
                <c:pt idx="18">
                  <c:v>366</c:v>
                </c:pt>
                <c:pt idx="19">
                  <c:v>244</c:v>
                </c:pt>
                <c:pt idx="20">
                  <c:v>241</c:v>
                </c:pt>
                <c:pt idx="21">
                  <c:v>237</c:v>
                </c:pt>
                <c:pt idx="22">
                  <c:v>122</c:v>
                </c:pt>
                <c:pt idx="23">
                  <c:v>129</c:v>
                </c:pt>
                <c:pt idx="24">
                  <c:v>236</c:v>
                </c:pt>
                <c:pt idx="25">
                  <c:v>251</c:v>
                </c:pt>
                <c:pt idx="26">
                  <c:v>283</c:v>
                </c:pt>
                <c:pt idx="27">
                  <c:v>225</c:v>
                </c:pt>
                <c:pt idx="28">
                  <c:v>102</c:v>
                </c:pt>
                <c:pt idx="29">
                  <c:v>180</c:v>
                </c:pt>
                <c:pt idx="30">
                  <c:v>247</c:v>
                </c:pt>
                <c:pt idx="31">
                  <c:v>343</c:v>
                </c:pt>
                <c:pt idx="32">
                  <c:v>283</c:v>
                </c:pt>
                <c:pt idx="33">
                  <c:v>253</c:v>
                </c:pt>
                <c:pt idx="34">
                  <c:v>263</c:v>
                </c:pt>
                <c:pt idx="35">
                  <c:v>291</c:v>
                </c:pt>
                <c:pt idx="36">
                  <c:v>368</c:v>
                </c:pt>
                <c:pt idx="37">
                  <c:v>206</c:v>
                </c:pt>
                <c:pt idx="38">
                  <c:v>231</c:v>
                </c:pt>
                <c:pt idx="39">
                  <c:v>389</c:v>
                </c:pt>
                <c:pt idx="40">
                  <c:v>396</c:v>
                </c:pt>
                <c:pt idx="41">
                  <c:v>339</c:v>
                </c:pt>
                <c:pt idx="42">
                  <c:v>286</c:v>
                </c:pt>
                <c:pt idx="43">
                  <c:v>146</c:v>
                </c:pt>
                <c:pt idx="44">
                  <c:v>315</c:v>
                </c:pt>
                <c:pt idx="45">
                  <c:v>183</c:v>
                </c:pt>
                <c:pt idx="46">
                  <c:v>481</c:v>
                </c:pt>
                <c:pt idx="47">
                  <c:v>349</c:v>
                </c:pt>
                <c:pt idx="48">
                  <c:v>225</c:v>
                </c:pt>
                <c:pt idx="49">
                  <c:v>217</c:v>
                </c:pt>
                <c:pt idx="50">
                  <c:v>353</c:v>
                </c:pt>
                <c:pt idx="51">
                  <c:v>314</c:v>
                </c:pt>
                <c:pt idx="52">
                  <c:v>247</c:v>
                </c:pt>
                <c:pt idx="53">
                  <c:v>410</c:v>
                </c:pt>
                <c:pt idx="54">
                  <c:v>395</c:v>
                </c:pt>
                <c:pt idx="55">
                  <c:v>416</c:v>
                </c:pt>
                <c:pt idx="56">
                  <c:v>342</c:v>
                </c:pt>
                <c:pt idx="57">
                  <c:v>446</c:v>
                </c:pt>
                <c:pt idx="58">
                  <c:v>477</c:v>
                </c:pt>
                <c:pt idx="59">
                  <c:v>444</c:v>
                </c:pt>
                <c:pt idx="60">
                  <c:v>351</c:v>
                </c:pt>
                <c:pt idx="61">
                  <c:v>165</c:v>
                </c:pt>
                <c:pt idx="62">
                  <c:v>317</c:v>
                </c:pt>
                <c:pt idx="63">
                  <c:v>250</c:v>
                </c:pt>
                <c:pt idx="64">
                  <c:v>217</c:v>
                </c:pt>
                <c:pt idx="65">
                  <c:v>138</c:v>
                </c:pt>
                <c:pt idx="66">
                  <c:v>302</c:v>
                </c:pt>
                <c:pt idx="67">
                  <c:v>311</c:v>
                </c:pt>
                <c:pt idx="68">
                  <c:v>373</c:v>
                </c:pt>
                <c:pt idx="69">
                  <c:v>196</c:v>
                </c:pt>
                <c:pt idx="70">
                  <c:v>306</c:v>
                </c:pt>
                <c:pt idx="71">
                  <c:v>302</c:v>
                </c:pt>
                <c:pt idx="72">
                  <c:v>278</c:v>
                </c:pt>
                <c:pt idx="73">
                  <c:v>429</c:v>
                </c:pt>
                <c:pt idx="74">
                  <c:v>338</c:v>
                </c:pt>
                <c:pt idx="75">
                  <c:v>261</c:v>
                </c:pt>
                <c:pt idx="76">
                  <c:v>256</c:v>
                </c:pt>
                <c:pt idx="77">
                  <c:v>183</c:v>
                </c:pt>
                <c:pt idx="78">
                  <c:v>274</c:v>
                </c:pt>
                <c:pt idx="79">
                  <c:v>182</c:v>
                </c:pt>
                <c:pt idx="80">
                  <c:v>183</c:v>
                </c:pt>
                <c:pt idx="81">
                  <c:v>309</c:v>
                </c:pt>
                <c:pt idx="82">
                  <c:v>178</c:v>
                </c:pt>
                <c:pt idx="83">
                  <c:v>458</c:v>
                </c:pt>
                <c:pt idx="84">
                  <c:v>234</c:v>
                </c:pt>
                <c:pt idx="85">
                  <c:v>306</c:v>
                </c:pt>
                <c:pt idx="86">
                  <c:v>400</c:v>
                </c:pt>
                <c:pt idx="87">
                  <c:v>337</c:v>
                </c:pt>
                <c:pt idx="88">
                  <c:v>325</c:v>
                </c:pt>
                <c:pt idx="89">
                  <c:v>329</c:v>
                </c:pt>
                <c:pt idx="90">
                  <c:v>369</c:v>
                </c:pt>
                <c:pt idx="91">
                  <c:v>457</c:v>
                </c:pt>
                <c:pt idx="92">
                  <c:v>421</c:v>
                </c:pt>
                <c:pt idx="93">
                  <c:v>282</c:v>
                </c:pt>
                <c:pt idx="94">
                  <c:v>256</c:v>
                </c:pt>
              </c:numCache>
            </c:numRef>
          </c:yVal>
          <c:smooth val="0"/>
          <c:extLst>
            <c:ext xmlns:c16="http://schemas.microsoft.com/office/drawing/2014/chart" uri="{C3380CC4-5D6E-409C-BE32-E72D297353CC}">
              <c16:uniqueId val="{00000001-A509-453E-9D3E-E1379A8E8442}"/>
            </c:ext>
          </c:extLst>
        </c:ser>
        <c:dLbls>
          <c:showLegendKey val="0"/>
          <c:showVal val="0"/>
          <c:showCatName val="0"/>
          <c:showSerName val="0"/>
          <c:showPercent val="0"/>
          <c:showBubbleSize val="0"/>
        </c:dLbls>
        <c:axId val="466164800"/>
        <c:axId val="466153984"/>
      </c:scatterChart>
      <c:valAx>
        <c:axId val="466164800"/>
        <c:scaling>
          <c:orientation val="minMax"/>
          <c:max val="500"/>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Before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153984"/>
        <c:crosses val="autoZero"/>
        <c:crossBetween val="midCat"/>
      </c:valAx>
      <c:valAx>
        <c:axId val="466153984"/>
        <c:scaling>
          <c:orientation val="minMax"/>
          <c:max val="500"/>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After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164800"/>
        <c:crosses val="autoZero"/>
        <c:crossBetween val="midCat"/>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Employability</a:t>
            </a:r>
            <a:r>
              <a:rPr lang="en-US" b="0" baseline="0"/>
              <a:t> Scores</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'Standard Error'!$C$5</c:f>
              <c:strCache>
                <c:ptCount val="1"/>
                <c:pt idx="0">
                  <c:v>Employability (After)</c:v>
                </c:pt>
              </c:strCache>
            </c:strRef>
          </c:tx>
          <c:spPr>
            <a:ln w="19050" cap="rnd">
              <a:noFill/>
              <a:round/>
            </a:ln>
            <a:effectLst/>
          </c:spPr>
          <c:marker>
            <c:symbol val="circle"/>
            <c:size val="5"/>
            <c:spPr>
              <a:solidFill>
                <a:schemeClr val="accent2">
                  <a:alpha val="70000"/>
                </a:schemeClr>
              </a:solidFill>
              <a:ln w="9525">
                <a:noFill/>
              </a:ln>
              <a:effectLst/>
            </c:spPr>
          </c:marker>
          <c:trendline>
            <c:spPr>
              <a:ln w="19050" cap="rnd">
                <a:solidFill>
                  <a:schemeClr val="accent1">
                    <a:lumMod val="75000"/>
                  </a:schemeClr>
                </a:solidFill>
                <a:prstDash val="solid"/>
              </a:ln>
              <a:effectLst/>
            </c:spPr>
            <c:trendlineType val="linear"/>
            <c:dispRSqr val="1"/>
            <c:dispEq val="1"/>
            <c:trendlineLbl>
              <c:layout>
                <c:manualLayout>
                  <c:x val="0.13745819358001662"/>
                  <c:y val="0.42550925925925925"/>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xVal>
            <c:numRef>
              <c:f>'Standard Error'!$B$6:$B$100</c:f>
              <c:numCache>
                <c:formatCode>General</c:formatCode>
                <c:ptCount val="95"/>
                <c:pt idx="0">
                  <c:v>252</c:v>
                </c:pt>
                <c:pt idx="1">
                  <c:v>423</c:v>
                </c:pt>
                <c:pt idx="2">
                  <c:v>101</c:v>
                </c:pt>
                <c:pt idx="3">
                  <c:v>288</c:v>
                </c:pt>
                <c:pt idx="4">
                  <c:v>248</c:v>
                </c:pt>
                <c:pt idx="5">
                  <c:v>145</c:v>
                </c:pt>
                <c:pt idx="6">
                  <c:v>401</c:v>
                </c:pt>
                <c:pt idx="7">
                  <c:v>287</c:v>
                </c:pt>
                <c:pt idx="8">
                  <c:v>275</c:v>
                </c:pt>
                <c:pt idx="9">
                  <c:v>254</c:v>
                </c:pt>
                <c:pt idx="10">
                  <c:v>182</c:v>
                </c:pt>
                <c:pt idx="11">
                  <c:v>117</c:v>
                </c:pt>
                <c:pt idx="12">
                  <c:v>130</c:v>
                </c:pt>
                <c:pt idx="13">
                  <c:v>219</c:v>
                </c:pt>
                <c:pt idx="14">
                  <c:v>152</c:v>
                </c:pt>
                <c:pt idx="15">
                  <c:v>228</c:v>
                </c:pt>
                <c:pt idx="16">
                  <c:v>62</c:v>
                </c:pt>
                <c:pt idx="17">
                  <c:v>393</c:v>
                </c:pt>
                <c:pt idx="18">
                  <c:v>277</c:v>
                </c:pt>
                <c:pt idx="19">
                  <c:v>206</c:v>
                </c:pt>
                <c:pt idx="20">
                  <c:v>229</c:v>
                </c:pt>
                <c:pt idx="21">
                  <c:v>182</c:v>
                </c:pt>
                <c:pt idx="22">
                  <c:v>98</c:v>
                </c:pt>
                <c:pt idx="23">
                  <c:v>125</c:v>
                </c:pt>
                <c:pt idx="24">
                  <c:v>164</c:v>
                </c:pt>
                <c:pt idx="25">
                  <c:v>186</c:v>
                </c:pt>
                <c:pt idx="26">
                  <c:v>235</c:v>
                </c:pt>
                <c:pt idx="27">
                  <c:v>184</c:v>
                </c:pt>
                <c:pt idx="28">
                  <c:v>76</c:v>
                </c:pt>
                <c:pt idx="29">
                  <c:v>126</c:v>
                </c:pt>
                <c:pt idx="30">
                  <c:v>183</c:v>
                </c:pt>
                <c:pt idx="31">
                  <c:v>242</c:v>
                </c:pt>
                <c:pt idx="32">
                  <c:v>207</c:v>
                </c:pt>
                <c:pt idx="33">
                  <c:v>181</c:v>
                </c:pt>
                <c:pt idx="34">
                  <c:v>239</c:v>
                </c:pt>
                <c:pt idx="35">
                  <c:v>216</c:v>
                </c:pt>
                <c:pt idx="36">
                  <c:v>289</c:v>
                </c:pt>
                <c:pt idx="37">
                  <c:v>213</c:v>
                </c:pt>
                <c:pt idx="38">
                  <c:v>209</c:v>
                </c:pt>
                <c:pt idx="39">
                  <c:v>376</c:v>
                </c:pt>
                <c:pt idx="40">
                  <c:v>332</c:v>
                </c:pt>
                <c:pt idx="41">
                  <c:v>249</c:v>
                </c:pt>
                <c:pt idx="42">
                  <c:v>228</c:v>
                </c:pt>
                <c:pt idx="43">
                  <c:v>124</c:v>
                </c:pt>
                <c:pt idx="44">
                  <c:v>194</c:v>
                </c:pt>
                <c:pt idx="45">
                  <c:v>157</c:v>
                </c:pt>
                <c:pt idx="46">
                  <c:v>402</c:v>
                </c:pt>
                <c:pt idx="47">
                  <c:v>323</c:v>
                </c:pt>
                <c:pt idx="48">
                  <c:v>181</c:v>
                </c:pt>
                <c:pt idx="49">
                  <c:v>157</c:v>
                </c:pt>
                <c:pt idx="50">
                  <c:v>266</c:v>
                </c:pt>
                <c:pt idx="51">
                  <c:v>268</c:v>
                </c:pt>
                <c:pt idx="52">
                  <c:v>167</c:v>
                </c:pt>
                <c:pt idx="53">
                  <c:v>342</c:v>
                </c:pt>
                <c:pt idx="54">
                  <c:v>349</c:v>
                </c:pt>
                <c:pt idx="55">
                  <c:v>340</c:v>
                </c:pt>
                <c:pt idx="56">
                  <c:v>227</c:v>
                </c:pt>
                <c:pt idx="57">
                  <c:v>409</c:v>
                </c:pt>
                <c:pt idx="58">
                  <c:v>400</c:v>
                </c:pt>
                <c:pt idx="59">
                  <c:v>374</c:v>
                </c:pt>
                <c:pt idx="60">
                  <c:v>255</c:v>
                </c:pt>
                <c:pt idx="61">
                  <c:v>146</c:v>
                </c:pt>
                <c:pt idx="62">
                  <c:v>248</c:v>
                </c:pt>
                <c:pt idx="63">
                  <c:v>198</c:v>
                </c:pt>
                <c:pt idx="64">
                  <c:v>210</c:v>
                </c:pt>
                <c:pt idx="65">
                  <c:v>107</c:v>
                </c:pt>
                <c:pt idx="66">
                  <c:v>239</c:v>
                </c:pt>
                <c:pt idx="67">
                  <c:v>287</c:v>
                </c:pt>
                <c:pt idx="68">
                  <c:v>340</c:v>
                </c:pt>
                <c:pt idx="69">
                  <c:v>155</c:v>
                </c:pt>
                <c:pt idx="70">
                  <c:v>263</c:v>
                </c:pt>
                <c:pt idx="71">
                  <c:v>265</c:v>
                </c:pt>
                <c:pt idx="72">
                  <c:v>249</c:v>
                </c:pt>
                <c:pt idx="73">
                  <c:v>377</c:v>
                </c:pt>
                <c:pt idx="74">
                  <c:v>301</c:v>
                </c:pt>
                <c:pt idx="75">
                  <c:v>242</c:v>
                </c:pt>
                <c:pt idx="76">
                  <c:v>211</c:v>
                </c:pt>
                <c:pt idx="77">
                  <c:v>160</c:v>
                </c:pt>
                <c:pt idx="78">
                  <c:v>218</c:v>
                </c:pt>
                <c:pt idx="79">
                  <c:v>133</c:v>
                </c:pt>
                <c:pt idx="80">
                  <c:v>122</c:v>
                </c:pt>
                <c:pt idx="81">
                  <c:v>236</c:v>
                </c:pt>
                <c:pt idx="82">
                  <c:v>143</c:v>
                </c:pt>
                <c:pt idx="83">
                  <c:v>354</c:v>
                </c:pt>
                <c:pt idx="84">
                  <c:v>214</c:v>
                </c:pt>
                <c:pt idx="85">
                  <c:v>225</c:v>
                </c:pt>
                <c:pt idx="86">
                  <c:v>261</c:v>
                </c:pt>
                <c:pt idx="87">
                  <c:v>277</c:v>
                </c:pt>
                <c:pt idx="88">
                  <c:v>282</c:v>
                </c:pt>
                <c:pt idx="89">
                  <c:v>322</c:v>
                </c:pt>
                <c:pt idx="90">
                  <c:v>326</c:v>
                </c:pt>
                <c:pt idx="91">
                  <c:v>421</c:v>
                </c:pt>
                <c:pt idx="92">
                  <c:v>368</c:v>
                </c:pt>
                <c:pt idx="93">
                  <c:v>279</c:v>
                </c:pt>
                <c:pt idx="94">
                  <c:v>268</c:v>
                </c:pt>
              </c:numCache>
            </c:numRef>
          </c:xVal>
          <c:yVal>
            <c:numRef>
              <c:f>'Standard Error'!$C$6:$C$100</c:f>
              <c:numCache>
                <c:formatCode>General</c:formatCode>
                <c:ptCount val="95"/>
                <c:pt idx="0">
                  <c:v>276</c:v>
                </c:pt>
                <c:pt idx="1">
                  <c:v>410</c:v>
                </c:pt>
                <c:pt idx="2">
                  <c:v>119</c:v>
                </c:pt>
                <c:pt idx="3">
                  <c:v>334</c:v>
                </c:pt>
                <c:pt idx="4">
                  <c:v>252</c:v>
                </c:pt>
                <c:pt idx="5">
                  <c:v>209</c:v>
                </c:pt>
                <c:pt idx="6">
                  <c:v>462</c:v>
                </c:pt>
                <c:pt idx="7">
                  <c:v>342</c:v>
                </c:pt>
                <c:pt idx="8">
                  <c:v>347</c:v>
                </c:pt>
                <c:pt idx="9">
                  <c:v>313</c:v>
                </c:pt>
                <c:pt idx="10">
                  <c:v>232</c:v>
                </c:pt>
                <c:pt idx="11">
                  <c:v>163</c:v>
                </c:pt>
                <c:pt idx="12">
                  <c:v>119</c:v>
                </c:pt>
                <c:pt idx="13">
                  <c:v>304</c:v>
                </c:pt>
                <c:pt idx="14">
                  <c:v>211</c:v>
                </c:pt>
                <c:pt idx="15">
                  <c:v>286</c:v>
                </c:pt>
                <c:pt idx="16">
                  <c:v>122</c:v>
                </c:pt>
                <c:pt idx="17">
                  <c:v>443</c:v>
                </c:pt>
                <c:pt idx="18">
                  <c:v>366</c:v>
                </c:pt>
                <c:pt idx="19">
                  <c:v>244</c:v>
                </c:pt>
                <c:pt idx="20">
                  <c:v>241</c:v>
                </c:pt>
                <c:pt idx="21">
                  <c:v>237</c:v>
                </c:pt>
                <c:pt idx="22">
                  <c:v>122</c:v>
                </c:pt>
                <c:pt idx="23">
                  <c:v>129</c:v>
                </c:pt>
                <c:pt idx="24">
                  <c:v>236</c:v>
                </c:pt>
                <c:pt idx="25">
                  <c:v>251</c:v>
                </c:pt>
                <c:pt idx="26">
                  <c:v>283</c:v>
                </c:pt>
                <c:pt idx="27">
                  <c:v>225</c:v>
                </c:pt>
                <c:pt idx="28">
                  <c:v>102</c:v>
                </c:pt>
                <c:pt idx="29">
                  <c:v>180</c:v>
                </c:pt>
                <c:pt idx="30">
                  <c:v>247</c:v>
                </c:pt>
                <c:pt idx="31">
                  <c:v>343</c:v>
                </c:pt>
                <c:pt idx="32">
                  <c:v>283</c:v>
                </c:pt>
                <c:pt idx="33">
                  <c:v>253</c:v>
                </c:pt>
                <c:pt idx="34">
                  <c:v>263</c:v>
                </c:pt>
                <c:pt idx="35">
                  <c:v>291</c:v>
                </c:pt>
                <c:pt idx="36">
                  <c:v>368</c:v>
                </c:pt>
                <c:pt idx="37">
                  <c:v>206</c:v>
                </c:pt>
                <c:pt idx="38">
                  <c:v>231</c:v>
                </c:pt>
                <c:pt idx="39">
                  <c:v>389</c:v>
                </c:pt>
                <c:pt idx="40">
                  <c:v>396</c:v>
                </c:pt>
                <c:pt idx="41">
                  <c:v>339</c:v>
                </c:pt>
                <c:pt idx="42">
                  <c:v>286</c:v>
                </c:pt>
                <c:pt idx="43">
                  <c:v>146</c:v>
                </c:pt>
                <c:pt idx="44">
                  <c:v>315</c:v>
                </c:pt>
                <c:pt idx="45">
                  <c:v>183</c:v>
                </c:pt>
                <c:pt idx="46">
                  <c:v>481</c:v>
                </c:pt>
                <c:pt idx="47">
                  <c:v>349</c:v>
                </c:pt>
                <c:pt idx="48">
                  <c:v>225</c:v>
                </c:pt>
                <c:pt idx="49">
                  <c:v>217</c:v>
                </c:pt>
                <c:pt idx="50">
                  <c:v>353</c:v>
                </c:pt>
                <c:pt idx="51">
                  <c:v>314</c:v>
                </c:pt>
                <c:pt idx="52">
                  <c:v>247</c:v>
                </c:pt>
                <c:pt idx="53">
                  <c:v>410</c:v>
                </c:pt>
                <c:pt idx="54">
                  <c:v>395</c:v>
                </c:pt>
                <c:pt idx="55">
                  <c:v>416</c:v>
                </c:pt>
                <c:pt idx="56">
                  <c:v>342</c:v>
                </c:pt>
                <c:pt idx="57">
                  <c:v>446</c:v>
                </c:pt>
                <c:pt idx="58">
                  <c:v>477</c:v>
                </c:pt>
                <c:pt idx="59">
                  <c:v>444</c:v>
                </c:pt>
                <c:pt idx="60">
                  <c:v>351</c:v>
                </c:pt>
                <c:pt idx="61">
                  <c:v>165</c:v>
                </c:pt>
                <c:pt idx="62">
                  <c:v>317</c:v>
                </c:pt>
                <c:pt idx="63">
                  <c:v>250</c:v>
                </c:pt>
                <c:pt idx="64">
                  <c:v>217</c:v>
                </c:pt>
                <c:pt idx="65">
                  <c:v>138</c:v>
                </c:pt>
                <c:pt idx="66">
                  <c:v>302</c:v>
                </c:pt>
                <c:pt idx="67">
                  <c:v>311</c:v>
                </c:pt>
                <c:pt idx="68">
                  <c:v>373</c:v>
                </c:pt>
                <c:pt idx="69">
                  <c:v>196</c:v>
                </c:pt>
                <c:pt idx="70">
                  <c:v>306</c:v>
                </c:pt>
                <c:pt idx="71">
                  <c:v>302</c:v>
                </c:pt>
                <c:pt idx="72">
                  <c:v>278</c:v>
                </c:pt>
                <c:pt idx="73">
                  <c:v>429</c:v>
                </c:pt>
                <c:pt idx="74">
                  <c:v>338</c:v>
                </c:pt>
                <c:pt idx="75">
                  <c:v>261</c:v>
                </c:pt>
                <c:pt idx="76">
                  <c:v>256</c:v>
                </c:pt>
                <c:pt idx="77">
                  <c:v>183</c:v>
                </c:pt>
                <c:pt idx="78">
                  <c:v>274</c:v>
                </c:pt>
                <c:pt idx="79">
                  <c:v>182</c:v>
                </c:pt>
                <c:pt idx="80">
                  <c:v>183</c:v>
                </c:pt>
                <c:pt idx="81">
                  <c:v>309</c:v>
                </c:pt>
                <c:pt idx="82">
                  <c:v>178</c:v>
                </c:pt>
                <c:pt idx="83">
                  <c:v>458</c:v>
                </c:pt>
                <c:pt idx="84">
                  <c:v>234</c:v>
                </c:pt>
                <c:pt idx="85">
                  <c:v>306</c:v>
                </c:pt>
                <c:pt idx="86">
                  <c:v>400</c:v>
                </c:pt>
                <c:pt idx="87">
                  <c:v>337</c:v>
                </c:pt>
                <c:pt idx="88">
                  <c:v>325</c:v>
                </c:pt>
                <c:pt idx="89">
                  <c:v>329</c:v>
                </c:pt>
                <c:pt idx="90">
                  <c:v>369</c:v>
                </c:pt>
                <c:pt idx="91">
                  <c:v>457</c:v>
                </c:pt>
                <c:pt idx="92">
                  <c:v>421</c:v>
                </c:pt>
                <c:pt idx="93">
                  <c:v>282</c:v>
                </c:pt>
                <c:pt idx="94">
                  <c:v>256</c:v>
                </c:pt>
              </c:numCache>
            </c:numRef>
          </c:yVal>
          <c:smooth val="0"/>
          <c:extLst>
            <c:ext xmlns:c16="http://schemas.microsoft.com/office/drawing/2014/chart" uri="{C3380CC4-5D6E-409C-BE32-E72D297353CC}">
              <c16:uniqueId val="{00000001-41D6-45F3-9148-240C148BADAF}"/>
            </c:ext>
          </c:extLst>
        </c:ser>
        <c:dLbls>
          <c:showLegendKey val="0"/>
          <c:showVal val="0"/>
          <c:showCatName val="0"/>
          <c:showSerName val="0"/>
          <c:showPercent val="0"/>
          <c:showBubbleSize val="0"/>
        </c:dLbls>
        <c:axId val="466164800"/>
        <c:axId val="466153984"/>
      </c:scatterChart>
      <c:valAx>
        <c:axId val="466164800"/>
        <c:scaling>
          <c:orientation val="minMax"/>
          <c:max val="500"/>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Before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153984"/>
        <c:crosses val="autoZero"/>
        <c:crossBetween val="midCat"/>
      </c:valAx>
      <c:valAx>
        <c:axId val="466153984"/>
        <c:scaling>
          <c:orientation val="minMax"/>
          <c:max val="500"/>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After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164800"/>
        <c:crosses val="autoZero"/>
        <c:crossBetween val="midCat"/>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Employability</a:t>
            </a:r>
            <a:r>
              <a:rPr lang="en-US" b="0" baseline="0"/>
              <a:t> Scores</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'Hypothesis Test'!$C$5</c:f>
              <c:strCache>
                <c:ptCount val="1"/>
                <c:pt idx="0">
                  <c:v>Employability (After)</c:v>
                </c:pt>
              </c:strCache>
            </c:strRef>
          </c:tx>
          <c:spPr>
            <a:ln w="19050" cap="rnd">
              <a:noFill/>
              <a:round/>
            </a:ln>
            <a:effectLst/>
          </c:spPr>
          <c:marker>
            <c:symbol val="circle"/>
            <c:size val="5"/>
            <c:spPr>
              <a:solidFill>
                <a:schemeClr val="accent2">
                  <a:alpha val="70000"/>
                </a:schemeClr>
              </a:solidFill>
              <a:ln w="9525">
                <a:noFill/>
              </a:ln>
              <a:effectLst/>
            </c:spPr>
          </c:marker>
          <c:trendline>
            <c:spPr>
              <a:ln w="19050" cap="rnd">
                <a:solidFill>
                  <a:schemeClr val="accent1">
                    <a:lumMod val="75000"/>
                  </a:schemeClr>
                </a:solidFill>
                <a:prstDash val="solid"/>
              </a:ln>
              <a:effectLst/>
            </c:spPr>
            <c:trendlineType val="linear"/>
            <c:dispRSqr val="1"/>
            <c:dispEq val="1"/>
            <c:trendlineLbl>
              <c:layout>
                <c:manualLayout>
                  <c:x val="0.13745819358001662"/>
                  <c:y val="0.42550925925925925"/>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xVal>
            <c:numRef>
              <c:f>'Hypothesis Test'!$B$6:$B$100</c:f>
              <c:numCache>
                <c:formatCode>General</c:formatCode>
                <c:ptCount val="95"/>
                <c:pt idx="0">
                  <c:v>252</c:v>
                </c:pt>
                <c:pt idx="1">
                  <c:v>423</c:v>
                </c:pt>
                <c:pt idx="2">
                  <c:v>101</c:v>
                </c:pt>
                <c:pt idx="3">
                  <c:v>288</c:v>
                </c:pt>
                <c:pt idx="4">
                  <c:v>248</c:v>
                </c:pt>
                <c:pt idx="5">
                  <c:v>145</c:v>
                </c:pt>
                <c:pt idx="6">
                  <c:v>401</c:v>
                </c:pt>
                <c:pt idx="7">
                  <c:v>287</c:v>
                </c:pt>
                <c:pt idx="8">
                  <c:v>275</c:v>
                </c:pt>
                <c:pt idx="9">
                  <c:v>254</c:v>
                </c:pt>
                <c:pt idx="10">
                  <c:v>182</c:v>
                </c:pt>
                <c:pt idx="11">
                  <c:v>117</c:v>
                </c:pt>
                <c:pt idx="12">
                  <c:v>130</c:v>
                </c:pt>
                <c:pt idx="13">
                  <c:v>219</c:v>
                </c:pt>
                <c:pt idx="14">
                  <c:v>152</c:v>
                </c:pt>
                <c:pt idx="15">
                  <c:v>228</c:v>
                </c:pt>
                <c:pt idx="16">
                  <c:v>62</c:v>
                </c:pt>
                <c:pt idx="17">
                  <c:v>393</c:v>
                </c:pt>
                <c:pt idx="18">
                  <c:v>277</c:v>
                </c:pt>
                <c:pt idx="19">
                  <c:v>206</c:v>
                </c:pt>
                <c:pt idx="20">
                  <c:v>229</c:v>
                </c:pt>
                <c:pt idx="21">
                  <c:v>182</c:v>
                </c:pt>
                <c:pt idx="22">
                  <c:v>98</c:v>
                </c:pt>
                <c:pt idx="23">
                  <c:v>125</c:v>
                </c:pt>
                <c:pt idx="24">
                  <c:v>164</c:v>
                </c:pt>
                <c:pt idx="25">
                  <c:v>186</c:v>
                </c:pt>
                <c:pt idx="26">
                  <c:v>235</c:v>
                </c:pt>
                <c:pt idx="27">
                  <c:v>184</c:v>
                </c:pt>
                <c:pt idx="28">
                  <c:v>76</c:v>
                </c:pt>
                <c:pt idx="29">
                  <c:v>126</c:v>
                </c:pt>
                <c:pt idx="30">
                  <c:v>183</c:v>
                </c:pt>
                <c:pt idx="31">
                  <c:v>242</c:v>
                </c:pt>
                <c:pt idx="32">
                  <c:v>207</c:v>
                </c:pt>
                <c:pt idx="33">
                  <c:v>181</c:v>
                </c:pt>
                <c:pt idx="34">
                  <c:v>239</c:v>
                </c:pt>
                <c:pt idx="35">
                  <c:v>216</c:v>
                </c:pt>
                <c:pt idx="36">
                  <c:v>289</c:v>
                </c:pt>
                <c:pt idx="37">
                  <c:v>213</c:v>
                </c:pt>
                <c:pt idx="38">
                  <c:v>209</c:v>
                </c:pt>
                <c:pt idx="39">
                  <c:v>376</c:v>
                </c:pt>
                <c:pt idx="40">
                  <c:v>332</c:v>
                </c:pt>
                <c:pt idx="41">
                  <c:v>249</c:v>
                </c:pt>
                <c:pt idx="42">
                  <c:v>228</c:v>
                </c:pt>
                <c:pt idx="43">
                  <c:v>124</c:v>
                </c:pt>
                <c:pt idx="44">
                  <c:v>194</c:v>
                </c:pt>
                <c:pt idx="45">
                  <c:v>157</c:v>
                </c:pt>
                <c:pt idx="46">
                  <c:v>402</c:v>
                </c:pt>
                <c:pt idx="47">
                  <c:v>323</c:v>
                </c:pt>
                <c:pt idx="48">
                  <c:v>181</c:v>
                </c:pt>
                <c:pt idx="49">
                  <c:v>157</c:v>
                </c:pt>
                <c:pt idx="50">
                  <c:v>266</c:v>
                </c:pt>
                <c:pt idx="51">
                  <c:v>268</c:v>
                </c:pt>
                <c:pt idx="52">
                  <c:v>167</c:v>
                </c:pt>
                <c:pt idx="53">
                  <c:v>342</c:v>
                </c:pt>
                <c:pt idx="54">
                  <c:v>349</c:v>
                </c:pt>
                <c:pt idx="55">
                  <c:v>340</c:v>
                </c:pt>
                <c:pt idx="56">
                  <c:v>227</c:v>
                </c:pt>
                <c:pt idx="57">
                  <c:v>409</c:v>
                </c:pt>
                <c:pt idx="58">
                  <c:v>400</c:v>
                </c:pt>
                <c:pt idx="59">
                  <c:v>374</c:v>
                </c:pt>
                <c:pt idx="60">
                  <c:v>255</c:v>
                </c:pt>
                <c:pt idx="61">
                  <c:v>146</c:v>
                </c:pt>
                <c:pt idx="62">
                  <c:v>248</c:v>
                </c:pt>
                <c:pt idx="63">
                  <c:v>198</c:v>
                </c:pt>
                <c:pt idx="64">
                  <c:v>210</c:v>
                </c:pt>
                <c:pt idx="65">
                  <c:v>107</c:v>
                </c:pt>
                <c:pt idx="66">
                  <c:v>239</c:v>
                </c:pt>
                <c:pt idx="67">
                  <c:v>287</c:v>
                </c:pt>
                <c:pt idx="68">
                  <c:v>340</c:v>
                </c:pt>
                <c:pt idx="69">
                  <c:v>155</c:v>
                </c:pt>
                <c:pt idx="70">
                  <c:v>263</c:v>
                </c:pt>
                <c:pt idx="71">
                  <c:v>265</c:v>
                </c:pt>
                <c:pt idx="72">
                  <c:v>249</c:v>
                </c:pt>
                <c:pt idx="73">
                  <c:v>377</c:v>
                </c:pt>
                <c:pt idx="74">
                  <c:v>301</c:v>
                </c:pt>
                <c:pt idx="75">
                  <c:v>242</c:v>
                </c:pt>
                <c:pt idx="76">
                  <c:v>211</c:v>
                </c:pt>
                <c:pt idx="77">
                  <c:v>160</c:v>
                </c:pt>
                <c:pt idx="78">
                  <c:v>218</c:v>
                </c:pt>
                <c:pt idx="79">
                  <c:v>133</c:v>
                </c:pt>
                <c:pt idx="80">
                  <c:v>122</c:v>
                </c:pt>
                <c:pt idx="81">
                  <c:v>236</c:v>
                </c:pt>
                <c:pt idx="82">
                  <c:v>143</c:v>
                </c:pt>
                <c:pt idx="83">
                  <c:v>354</c:v>
                </c:pt>
                <c:pt idx="84">
                  <c:v>214</c:v>
                </c:pt>
                <c:pt idx="85">
                  <c:v>225</c:v>
                </c:pt>
                <c:pt idx="86">
                  <c:v>261</c:v>
                </c:pt>
                <c:pt idx="87">
                  <c:v>277</c:v>
                </c:pt>
                <c:pt idx="88">
                  <c:v>282</c:v>
                </c:pt>
                <c:pt idx="89">
                  <c:v>322</c:v>
                </c:pt>
                <c:pt idx="90">
                  <c:v>326</c:v>
                </c:pt>
                <c:pt idx="91">
                  <c:v>421</c:v>
                </c:pt>
                <c:pt idx="92">
                  <c:v>368</c:v>
                </c:pt>
                <c:pt idx="93">
                  <c:v>279</c:v>
                </c:pt>
                <c:pt idx="94">
                  <c:v>268</c:v>
                </c:pt>
              </c:numCache>
            </c:numRef>
          </c:xVal>
          <c:yVal>
            <c:numRef>
              <c:f>'Hypothesis Test'!$C$6:$C$100</c:f>
              <c:numCache>
                <c:formatCode>General</c:formatCode>
                <c:ptCount val="95"/>
                <c:pt idx="0">
                  <c:v>276</c:v>
                </c:pt>
                <c:pt idx="1">
                  <c:v>410</c:v>
                </c:pt>
                <c:pt idx="2">
                  <c:v>119</c:v>
                </c:pt>
                <c:pt idx="3">
                  <c:v>334</c:v>
                </c:pt>
                <c:pt idx="4">
                  <c:v>252</c:v>
                </c:pt>
                <c:pt idx="5">
                  <c:v>209</c:v>
                </c:pt>
                <c:pt idx="6">
                  <c:v>462</c:v>
                </c:pt>
                <c:pt idx="7">
                  <c:v>342</c:v>
                </c:pt>
                <c:pt idx="8">
                  <c:v>347</c:v>
                </c:pt>
                <c:pt idx="9">
                  <c:v>313</c:v>
                </c:pt>
                <c:pt idx="10">
                  <c:v>232</c:v>
                </c:pt>
                <c:pt idx="11">
                  <c:v>163</c:v>
                </c:pt>
                <c:pt idx="12">
                  <c:v>119</c:v>
                </c:pt>
                <c:pt idx="13">
                  <c:v>304</c:v>
                </c:pt>
                <c:pt idx="14">
                  <c:v>211</c:v>
                </c:pt>
                <c:pt idx="15">
                  <c:v>286</c:v>
                </c:pt>
                <c:pt idx="16">
                  <c:v>122</c:v>
                </c:pt>
                <c:pt idx="17">
                  <c:v>443</c:v>
                </c:pt>
                <c:pt idx="18">
                  <c:v>366</c:v>
                </c:pt>
                <c:pt idx="19">
                  <c:v>244</c:v>
                </c:pt>
                <c:pt idx="20">
                  <c:v>241</c:v>
                </c:pt>
                <c:pt idx="21">
                  <c:v>237</c:v>
                </c:pt>
                <c:pt idx="22">
                  <c:v>122</c:v>
                </c:pt>
                <c:pt idx="23">
                  <c:v>129</c:v>
                </c:pt>
                <c:pt idx="24">
                  <c:v>236</c:v>
                </c:pt>
                <c:pt idx="25">
                  <c:v>251</c:v>
                </c:pt>
                <c:pt idx="26">
                  <c:v>283</c:v>
                </c:pt>
                <c:pt idx="27">
                  <c:v>225</c:v>
                </c:pt>
                <c:pt idx="28">
                  <c:v>102</c:v>
                </c:pt>
                <c:pt idx="29">
                  <c:v>180</c:v>
                </c:pt>
                <c:pt idx="30">
                  <c:v>247</c:v>
                </c:pt>
                <c:pt idx="31">
                  <c:v>343</c:v>
                </c:pt>
                <c:pt idx="32">
                  <c:v>283</c:v>
                </c:pt>
                <c:pt idx="33">
                  <c:v>253</c:v>
                </c:pt>
                <c:pt idx="34">
                  <c:v>263</c:v>
                </c:pt>
                <c:pt idx="35">
                  <c:v>291</c:v>
                </c:pt>
                <c:pt idx="36">
                  <c:v>368</c:v>
                </c:pt>
                <c:pt idx="37">
                  <c:v>206</c:v>
                </c:pt>
                <c:pt idx="38">
                  <c:v>231</c:v>
                </c:pt>
                <c:pt idx="39">
                  <c:v>389</c:v>
                </c:pt>
                <c:pt idx="40">
                  <c:v>396</c:v>
                </c:pt>
                <c:pt idx="41">
                  <c:v>339</c:v>
                </c:pt>
                <c:pt idx="42">
                  <c:v>286</c:v>
                </c:pt>
                <c:pt idx="43">
                  <c:v>146</c:v>
                </c:pt>
                <c:pt idx="44">
                  <c:v>315</c:v>
                </c:pt>
                <c:pt idx="45">
                  <c:v>183</c:v>
                </c:pt>
                <c:pt idx="46">
                  <c:v>481</c:v>
                </c:pt>
                <c:pt idx="47">
                  <c:v>349</c:v>
                </c:pt>
                <c:pt idx="48">
                  <c:v>225</c:v>
                </c:pt>
                <c:pt idx="49">
                  <c:v>217</c:v>
                </c:pt>
                <c:pt idx="50">
                  <c:v>353</c:v>
                </c:pt>
                <c:pt idx="51">
                  <c:v>314</c:v>
                </c:pt>
                <c:pt idx="52">
                  <c:v>247</c:v>
                </c:pt>
                <c:pt idx="53">
                  <c:v>410</c:v>
                </c:pt>
                <c:pt idx="54">
                  <c:v>395</c:v>
                </c:pt>
                <c:pt idx="55">
                  <c:v>416</c:v>
                </c:pt>
                <c:pt idx="56">
                  <c:v>342</c:v>
                </c:pt>
                <c:pt idx="57">
                  <c:v>446</c:v>
                </c:pt>
                <c:pt idx="58">
                  <c:v>477</c:v>
                </c:pt>
                <c:pt idx="59">
                  <c:v>444</c:v>
                </c:pt>
                <c:pt idx="60">
                  <c:v>351</c:v>
                </c:pt>
                <c:pt idx="61">
                  <c:v>165</c:v>
                </c:pt>
                <c:pt idx="62">
                  <c:v>317</c:v>
                </c:pt>
                <c:pt idx="63">
                  <c:v>250</c:v>
                </c:pt>
                <c:pt idx="64">
                  <c:v>217</c:v>
                </c:pt>
                <c:pt idx="65">
                  <c:v>138</c:v>
                </c:pt>
                <c:pt idx="66">
                  <c:v>302</c:v>
                </c:pt>
                <c:pt idx="67">
                  <c:v>311</c:v>
                </c:pt>
                <c:pt idx="68">
                  <c:v>373</c:v>
                </c:pt>
                <c:pt idx="69">
                  <c:v>196</c:v>
                </c:pt>
                <c:pt idx="70">
                  <c:v>306</c:v>
                </c:pt>
                <c:pt idx="71">
                  <c:v>302</c:v>
                </c:pt>
                <c:pt idx="72">
                  <c:v>278</c:v>
                </c:pt>
                <c:pt idx="73">
                  <c:v>429</c:v>
                </c:pt>
                <c:pt idx="74">
                  <c:v>338</c:v>
                </c:pt>
                <c:pt idx="75">
                  <c:v>261</c:v>
                </c:pt>
                <c:pt idx="76">
                  <c:v>256</c:v>
                </c:pt>
                <c:pt idx="77">
                  <c:v>183</c:v>
                </c:pt>
                <c:pt idx="78">
                  <c:v>274</c:v>
                </c:pt>
                <c:pt idx="79">
                  <c:v>182</c:v>
                </c:pt>
                <c:pt idx="80">
                  <c:v>183</c:v>
                </c:pt>
                <c:pt idx="81">
                  <c:v>309</c:v>
                </c:pt>
                <c:pt idx="82">
                  <c:v>178</c:v>
                </c:pt>
                <c:pt idx="83">
                  <c:v>458</c:v>
                </c:pt>
                <c:pt idx="84">
                  <c:v>234</c:v>
                </c:pt>
                <c:pt idx="85">
                  <c:v>306</c:v>
                </c:pt>
                <c:pt idx="86">
                  <c:v>400</c:v>
                </c:pt>
                <c:pt idx="87">
                  <c:v>337</c:v>
                </c:pt>
                <c:pt idx="88">
                  <c:v>325</c:v>
                </c:pt>
                <c:pt idx="89">
                  <c:v>329</c:v>
                </c:pt>
                <c:pt idx="90">
                  <c:v>369</c:v>
                </c:pt>
                <c:pt idx="91">
                  <c:v>457</c:v>
                </c:pt>
                <c:pt idx="92">
                  <c:v>421</c:v>
                </c:pt>
                <c:pt idx="93">
                  <c:v>282</c:v>
                </c:pt>
                <c:pt idx="94">
                  <c:v>256</c:v>
                </c:pt>
              </c:numCache>
            </c:numRef>
          </c:yVal>
          <c:smooth val="0"/>
          <c:extLst>
            <c:ext xmlns:c16="http://schemas.microsoft.com/office/drawing/2014/chart" uri="{C3380CC4-5D6E-409C-BE32-E72D297353CC}">
              <c16:uniqueId val="{00000001-CB68-4539-97AE-13132271139D}"/>
            </c:ext>
          </c:extLst>
        </c:ser>
        <c:dLbls>
          <c:showLegendKey val="0"/>
          <c:showVal val="0"/>
          <c:showCatName val="0"/>
          <c:showSerName val="0"/>
          <c:showPercent val="0"/>
          <c:showBubbleSize val="0"/>
        </c:dLbls>
        <c:axId val="466164800"/>
        <c:axId val="466153984"/>
      </c:scatterChart>
      <c:valAx>
        <c:axId val="466164800"/>
        <c:scaling>
          <c:orientation val="minMax"/>
          <c:max val="500"/>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Before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153984"/>
        <c:crosses val="autoZero"/>
        <c:crossBetween val="midCat"/>
      </c:valAx>
      <c:valAx>
        <c:axId val="466153984"/>
        <c:scaling>
          <c:orientation val="minMax"/>
          <c:max val="500"/>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After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164800"/>
        <c:crosses val="autoZero"/>
        <c:crossBetween val="midCat"/>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Salary Distribution for MBA Graduates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Salary Distribution for MBA Graduates</a:t>
          </a:r>
        </a:p>
      </cx:txPr>
    </cx:title>
    <cx:plotArea>
      <cx:plotAreaRegion>
        <cx:series layoutId="clusteredColumn" uniqueId="{6D838A58-D900-40A4-9287-F0ABF376AE7D}">
          <cx:tx>
            <cx:txData>
              <cx:f>_xlchart.v1.0</cx:f>
              <cx:v>Annual Salary (Thousands of USD)</cx:v>
            </cx:txData>
          </cx:tx>
          <cx:dataId val="0"/>
          <cx:layoutPr>
            <cx:binning intervalClosed="r">
              <cx:binSize val="15"/>
            </cx:binning>
          </cx:layoutPr>
        </cx:series>
      </cx:plotAreaRegion>
      <cx:axis id="0">
        <cx:catScaling gapWidth="0"/>
        <cx:title>
          <cx:tx>
            <cx:txData>
              <cx:v>Annual Salary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Annual Salary</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MBA Grades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MBA Grades</a:t>
          </a:r>
        </a:p>
      </cx:txPr>
    </cx:title>
    <cx:plotArea>
      <cx:plotAreaRegion>
        <cx:series layoutId="clusteredColumn" uniqueId="{FEA09F55-980B-4A05-8ADE-B9A9FD023519}">
          <cx:tx>
            <cx:txData>
              <cx:f>_xlchart.v1.2</cx:f>
              <cx:v>MBA Grade</cx:v>
            </cx:txData>
          </cx:tx>
          <cx:spPr>
            <a:solidFill>
              <a:schemeClr val="accent1"/>
            </a:solidFill>
            <a:ln w="12700">
              <a:solidFill>
                <a:schemeClr val="bg1"/>
              </a:solidFill>
            </a:ln>
          </cx:spPr>
          <cx:dataId val="0"/>
          <cx:layoutPr>
            <cx:binning intervalClosed="r"/>
          </cx:layoutPr>
        </cx:series>
      </cx:plotAreaRegion>
      <cx:axis id="0">
        <cx:catScaling gapWidth="0.200000003"/>
        <cx:tickLabels/>
      </cx:axis>
      <cx:axis id="1" hidden="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MBA</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MBA</a:t>
          </a:r>
        </a:p>
      </cx:txPr>
    </cx:title>
    <cx:plotArea>
      <cx:plotAreaRegion>
        <cx:series layoutId="clusteredColumn" uniqueId="{004BCA31-5ADC-43C5-A8B4-A4D326492BD7}">
          <cx:tx>
            <cx:txData>
              <cx:f>_xlchart.v1.6</cx:f>
              <cx:v>Business Undergrads</cx:v>
            </cx:txData>
          </cx:tx>
          <cx:dataId val="0"/>
          <cx:layoutPr>
            <cx:binning intervalClosed="r"/>
          </cx:layoutPr>
        </cx:series>
      </cx:plotAreaRegion>
      <cx:axis id="0">
        <cx:catScaling gapWidth="0"/>
        <cx:tickLabels/>
      </cx:axis>
      <cx:axis id="1">
        <cx:valScaling/>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Others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Others</a:t>
          </a:r>
        </a:p>
      </cx:txPr>
    </cx:title>
    <cx:plotArea>
      <cx:plotAreaRegion>
        <cx:series layoutId="clusteredColumn" uniqueId="{737D1067-1CB7-44C7-8C83-3FBFE79479D5}">
          <cx:tx>
            <cx:txData>
              <cx:f>_xlchart.v1.4</cx:f>
              <cx:v>Other Undergrads</cx:v>
            </cx:txData>
          </cx:tx>
          <cx:dataId val="0"/>
          <cx:layoutPr>
            <cx:binning intervalClosed="r"/>
          </cx:layoutPr>
        </cx:series>
      </cx:plotAreaRegion>
      <cx:axis id="0">
        <cx:catScaling gapWidth="0"/>
        <cx:tickLabels/>
      </cx:axis>
      <cx:axis id="1">
        <cx:valScaling/>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data id="1">
      <cx:numDim type="val">
        <cx:f>_xlchart.v1.11</cx:f>
      </cx:numDim>
    </cx:data>
  </cx:chartData>
  <cx:chart>
    <cx:plotArea>
      <cx:plotAreaRegion>
        <cx:series layoutId="boxWhisker" uniqueId="{89531AF3-F7CF-4128-876B-D0C707971A67}">
          <cx:tx>
            <cx:txData>
              <cx:f>_xlchart.v1.8</cx:f>
              <cx:v>Employability (Before)</cx:v>
            </cx:txData>
          </cx:tx>
          <cx:spPr>
            <a:solidFill>
              <a:schemeClr val="accent1"/>
            </a:solidFill>
          </cx:spPr>
          <cx:dataId val="0"/>
          <cx:layoutPr>
            <cx:visibility meanLine="0" meanMarker="1" nonoutliers="0" outliers="1"/>
            <cx:statistics quartileMethod="exclusive"/>
          </cx:layoutPr>
        </cx:series>
        <cx:series layoutId="boxWhisker" uniqueId="{09A3DD06-FBB7-4C3E-9815-D44AD1C668A2}">
          <cx:tx>
            <cx:txData>
              <cx:f>_xlchart.v1.10</cx:f>
              <cx:v>Employability (After)</cx:v>
            </cx:txData>
          </cx:tx>
          <cx:dataId val="1"/>
          <cx:layoutPr>
            <cx:visibility meanLine="0" meanMarker="1" nonoutliers="0" outliers="1"/>
            <cx:statistics quartileMethod="inclusive"/>
          </cx:layoutPr>
        </cx:series>
      </cx:plotAreaRegion>
      <cx:axis id="0" hidden="1">
        <cx:catScaling gapWidth="1"/>
        <cx:tickLabels/>
      </cx:axis>
      <cx:axis id="1">
        <cx:valScaling max="500"/>
        <cx:title>
          <cx:tx>
            <cx:txData>
              <cx:v>Employability Scores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Employability Scores</a:t>
              </a:r>
            </a:p>
          </cx:txPr>
        </cx:title>
        <cx:majorTickMarks type="out"/>
        <cx:tickLabels/>
      </cx:axis>
    </cx:plotArea>
    <cx:legend pos="t"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_xlchart.v1.14</cx:f>
      </cx:numDim>
    </cx:data>
  </cx:chartData>
  <cx:chart>
    <cx:plotArea>
      <cx:plotAreaRegion>
        <cx:series layoutId="boxWhisker" uniqueId="{290BEC52-3CF2-4C14-9F15-C0691477037C}">
          <cx:tx>
            <cx:txData>
              <cx:f>_xlchart.v1.13</cx:f>
              <cx:v>MBA Grade</cx:v>
            </cx:txData>
          </cx:tx>
          <cx:spPr>
            <a:solidFill>
              <a:schemeClr val="accent1">
                <a:lumMod val="75000"/>
                <a:alpha val="75000"/>
              </a:schemeClr>
            </a:solidFill>
          </cx:spPr>
          <cx:dataId val="0"/>
          <cx:layoutPr>
            <cx:visibility meanLine="0" meanMarker="1" nonoutliers="0" outliers="1"/>
            <cx:statistics quartileMethod="exclusive"/>
          </cx:layoutPr>
        </cx:series>
      </cx:plotAreaRegion>
      <cx:axis id="0">
        <cx:catScaling gapWidth="1"/>
        <cx:title>
          <cx:tx>
            <cx:txData>
              <cx:v>Undergrad Degree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Undergrad Degree</a:t>
              </a:r>
            </a:p>
          </cx:txPr>
        </cx:title>
        <cx:tickLabels/>
      </cx:axis>
      <cx:axis id="1">
        <cx:valScaling min="60"/>
        <cx:title>
          <cx:tx>
            <cx:txData>
              <cx:v>MBA Grade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MBA Grade</a:t>
              </a:r>
            </a:p>
          </cx:txPr>
        </cx:title>
        <cx:tickLabels/>
        <cx:spPr>
          <a:ln>
            <a:solidFill>
              <a:schemeClr val="accent1"/>
            </a:solidFill>
          </a:ln>
        </cx:spPr>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_xlchart.v1.16</cx:f>
      </cx:numDim>
    </cx:data>
  </cx:chartData>
  <cx:chart>
    <cx:plotArea>
      <cx:plotAreaRegion>
        <cx:series layoutId="clusteredColumn" uniqueId="{EEB0D07A-53AE-4A45-8418-C15BA4ED4D64}">
          <cx:tx>
            <cx:txData>
              <cx:f>_xlchart.v1.15</cx:f>
              <cx:v>Annual Salary</cx:v>
            </cx:txData>
          </cx:tx>
          <cx:dataId val="0"/>
          <cx:layoutPr>
            <cx:binning intervalClosed="r">
              <cx:binSize val="20000"/>
            </cx:binning>
          </cx:layoutPr>
        </cx:series>
      </cx:plotAreaRegion>
      <cx:axis id="0">
        <cx:catScaling gapWidth="0"/>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microsoft.com/office/2014/relationships/chartEx" Target="../charts/chartEx5.xml"/></Relationships>
</file>

<file path=xl/drawings/_rels/drawing5.xml.rels><?xml version="1.0" encoding="UTF-8" standalone="yes"?>
<Relationships xmlns="http://schemas.openxmlformats.org/package/2006/relationships"><Relationship Id="rId1" Type="http://schemas.microsoft.com/office/2014/relationships/chartEx" Target="../charts/chartEx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microsoft.com/office/2014/relationships/chartEx" Target="../charts/chartEx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289560</xdr:colOff>
      <xdr:row>4</xdr:row>
      <xdr:rowOff>125730</xdr:rowOff>
    </xdr:from>
    <xdr:to>
      <xdr:col>9</xdr:col>
      <xdr:colOff>594360</xdr:colOff>
      <xdr:row>18</xdr:row>
      <xdr:rowOff>125730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8380876-CF05-28AA-A816-E0BA3DEBAE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21180" y="104775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160020</xdr:colOff>
      <xdr:row>4</xdr:row>
      <xdr:rowOff>87630</xdr:rowOff>
    </xdr:from>
    <xdr:to>
      <xdr:col>20</xdr:col>
      <xdr:colOff>464820</xdr:colOff>
      <xdr:row>18</xdr:row>
      <xdr:rowOff>87630</xdr:rowOff>
    </xdr:to>
    <xdr:graphicFrame macro="">
      <xdr:nvGraphicFramePr>
        <xdr:cNvPr id="3" name="Chart 2">
          <a:extLst>
            <a:ext uri="{FF2B5EF4-FFF2-40B4-BE49-F238E27FC236}">
              <a16:creationId xmlns:a16="http://schemas.microsoft.com/office/drawing/2014/main" id="{155AB05C-B315-505A-26E4-9D75386EE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3</xdr:row>
      <xdr:rowOff>140970</xdr:rowOff>
    </xdr:from>
    <xdr:to>
      <xdr:col>12</xdr:col>
      <xdr:colOff>426720</xdr:colOff>
      <xdr:row>24</xdr:row>
      <xdr:rowOff>152400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F8B301F-CC43-167A-078D-0726BB6375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18260" y="880110"/>
              <a:ext cx="7193280" cy="385191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68580</xdr:colOff>
      <xdr:row>0</xdr:row>
      <xdr:rowOff>209550</xdr:rowOff>
    </xdr:from>
    <xdr:to>
      <xdr:col>17</xdr:col>
      <xdr:colOff>373380</xdr:colOff>
      <xdr:row>15</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0478DBF-BB19-0919-AEB8-9AEB2613EE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559040" y="20955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114300</xdr:colOff>
      <xdr:row>16</xdr:row>
      <xdr:rowOff>80010</xdr:rowOff>
    </xdr:from>
    <xdr:to>
      <xdr:col>17</xdr:col>
      <xdr:colOff>419100</xdr:colOff>
      <xdr:row>31</xdr:row>
      <xdr:rowOff>80010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2E7B275-DF32-8658-EEED-EA9BF149BC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604760" y="319659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403860</xdr:colOff>
      <xdr:row>3</xdr:row>
      <xdr:rowOff>125730</xdr:rowOff>
    </xdr:from>
    <xdr:to>
      <xdr:col>12</xdr:col>
      <xdr:colOff>99060</xdr:colOff>
      <xdr:row>23</xdr:row>
      <xdr:rowOff>137160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BB1993C-4BE3-8AA7-EB2A-AA2AA7F0E8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36620" y="864870"/>
              <a:ext cx="5181600" cy="366903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266700</xdr:colOff>
      <xdr:row>10</xdr:row>
      <xdr:rowOff>133350</xdr:rowOff>
    </xdr:from>
    <xdr:to>
      <xdr:col>7</xdr:col>
      <xdr:colOff>220980</xdr:colOff>
      <xdr:row>25</xdr:row>
      <xdr:rowOff>68580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E520714-DD93-B417-7A5C-B67F4F8EC6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00300" y="2152650"/>
              <a:ext cx="3314700" cy="267843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15</xdr:row>
      <xdr:rowOff>0</xdr:rowOff>
    </xdr:from>
    <xdr:to>
      <xdr:col>8</xdr:col>
      <xdr:colOff>0</xdr:colOff>
      <xdr:row>29</xdr:row>
      <xdr:rowOff>76200</xdr:rowOff>
    </xdr:to>
    <xdr:graphicFrame macro="">
      <xdr:nvGraphicFramePr>
        <xdr:cNvPr id="2" name="Chart 1">
          <a:extLst>
            <a:ext uri="{FF2B5EF4-FFF2-40B4-BE49-F238E27FC236}">
              <a16:creationId xmlns:a16="http://schemas.microsoft.com/office/drawing/2014/main" id="{183447F1-1932-6E4D-A93F-6F8DD3BFB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327660</xdr:colOff>
      <xdr:row>8</xdr:row>
      <xdr:rowOff>87630</xdr:rowOff>
    </xdr:from>
    <xdr:to>
      <xdr:col>8</xdr:col>
      <xdr:colOff>541020</xdr:colOff>
      <xdr:row>23</xdr:row>
      <xdr:rowOff>80010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CB7E9E4-F456-A835-4105-6AD9BEE93A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24940" y="174879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10</xdr:col>
      <xdr:colOff>449580</xdr:colOff>
      <xdr:row>1</xdr:row>
      <xdr:rowOff>171450</xdr:rowOff>
    </xdr:from>
    <xdr:to>
      <xdr:col>18</xdr:col>
      <xdr:colOff>144780</xdr:colOff>
      <xdr:row>16</xdr:row>
      <xdr:rowOff>118110</xdr:rowOff>
    </xdr:to>
    <xdr:graphicFrame macro="">
      <xdr:nvGraphicFramePr>
        <xdr:cNvPr id="2" name="Chart 1">
          <a:extLst>
            <a:ext uri="{FF2B5EF4-FFF2-40B4-BE49-F238E27FC236}">
              <a16:creationId xmlns:a16="http://schemas.microsoft.com/office/drawing/2014/main" id="{C02AD767-367F-452F-2FF6-60992D7A4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320040</xdr:colOff>
      <xdr:row>3</xdr:row>
      <xdr:rowOff>156210</xdr:rowOff>
    </xdr:from>
    <xdr:to>
      <xdr:col>13</xdr:col>
      <xdr:colOff>99060</xdr:colOff>
      <xdr:row>25</xdr:row>
      <xdr:rowOff>60960</xdr:rowOff>
    </xdr:to>
    <xdr:graphicFrame macro="">
      <xdr:nvGraphicFramePr>
        <xdr:cNvPr id="2" name="Chart 1">
          <a:extLst>
            <a:ext uri="{FF2B5EF4-FFF2-40B4-BE49-F238E27FC236}">
              <a16:creationId xmlns:a16="http://schemas.microsoft.com/office/drawing/2014/main" id="{3D2A2BD1-E4DE-01B3-B627-A81567544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426720</xdr:colOff>
      <xdr:row>6</xdr:row>
      <xdr:rowOff>148590</xdr:rowOff>
    </xdr:from>
    <xdr:to>
      <xdr:col>12</xdr:col>
      <xdr:colOff>137160</xdr:colOff>
      <xdr:row>25</xdr:row>
      <xdr:rowOff>167640</xdr:rowOff>
    </xdr:to>
    <xdr:graphicFrame macro="">
      <xdr:nvGraphicFramePr>
        <xdr:cNvPr id="2" name="Chart 1">
          <a:extLst>
            <a:ext uri="{FF2B5EF4-FFF2-40B4-BE49-F238E27FC236}">
              <a16:creationId xmlns:a16="http://schemas.microsoft.com/office/drawing/2014/main" id="{AB28F054-98CB-F51D-D9C7-28B21F16A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556260</xdr:colOff>
      <xdr:row>8</xdr:row>
      <xdr:rowOff>179070</xdr:rowOff>
    </xdr:from>
    <xdr:to>
      <xdr:col>11</xdr:col>
      <xdr:colOff>739140</xdr:colOff>
      <xdr:row>23</xdr:row>
      <xdr:rowOff>179070</xdr:rowOff>
    </xdr:to>
    <xdr:graphicFrame macro="">
      <xdr:nvGraphicFramePr>
        <xdr:cNvPr id="2" name="Chart 1">
          <a:extLst>
            <a:ext uri="{FF2B5EF4-FFF2-40B4-BE49-F238E27FC236}">
              <a16:creationId xmlns:a16="http://schemas.microsoft.com/office/drawing/2014/main" id="{9896A175-A5A3-BCEB-8CA2-6D56F5069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571500</xdr:colOff>
      <xdr:row>9</xdr:row>
      <xdr:rowOff>76200</xdr:rowOff>
    </xdr:from>
    <xdr:to>
      <xdr:col>9</xdr:col>
      <xdr:colOff>600075</xdr:colOff>
      <xdr:row>23</xdr:row>
      <xdr:rowOff>152400</xdr:rowOff>
    </xdr:to>
    <xdr:graphicFrame macro="">
      <xdr:nvGraphicFramePr>
        <xdr:cNvPr id="2" name="Chart 1">
          <a:extLst>
            <a:ext uri="{FF2B5EF4-FFF2-40B4-BE49-F238E27FC236}">
              <a16:creationId xmlns:a16="http://schemas.microsoft.com/office/drawing/2014/main" id="{4EF40BEE-46E0-4E41-8077-DF1640ED9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571500</xdr:colOff>
      <xdr:row>9</xdr:row>
      <xdr:rowOff>76200</xdr:rowOff>
    </xdr:from>
    <xdr:to>
      <xdr:col>9</xdr:col>
      <xdr:colOff>600075</xdr:colOff>
      <xdr:row>23</xdr:row>
      <xdr:rowOff>152400</xdr:rowOff>
    </xdr:to>
    <xdr:graphicFrame macro="">
      <xdr:nvGraphicFramePr>
        <xdr:cNvPr id="2" name="Chart 1">
          <a:extLst>
            <a:ext uri="{FF2B5EF4-FFF2-40B4-BE49-F238E27FC236}">
              <a16:creationId xmlns:a16="http://schemas.microsoft.com/office/drawing/2014/main" id="{27F74FDC-A1A1-454F-8713-737C70429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571500</xdr:colOff>
      <xdr:row>9</xdr:row>
      <xdr:rowOff>76200</xdr:rowOff>
    </xdr:from>
    <xdr:to>
      <xdr:col>9</xdr:col>
      <xdr:colOff>600075</xdr:colOff>
      <xdr:row>23</xdr:row>
      <xdr:rowOff>152400</xdr:rowOff>
    </xdr:to>
    <xdr:graphicFrame macro="">
      <xdr:nvGraphicFramePr>
        <xdr:cNvPr id="2" name="Chart 1">
          <a:extLst>
            <a:ext uri="{FF2B5EF4-FFF2-40B4-BE49-F238E27FC236}">
              <a16:creationId xmlns:a16="http://schemas.microsoft.com/office/drawing/2014/main" id="{630D9384-5289-4B07-BAAB-41902CE1D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571500</xdr:colOff>
      <xdr:row>9</xdr:row>
      <xdr:rowOff>76200</xdr:rowOff>
    </xdr:from>
    <xdr:to>
      <xdr:col>9</xdr:col>
      <xdr:colOff>600075</xdr:colOff>
      <xdr:row>23</xdr:row>
      <xdr:rowOff>152400</xdr:rowOff>
    </xdr:to>
    <xdr:graphicFrame macro="">
      <xdr:nvGraphicFramePr>
        <xdr:cNvPr id="2" name="Chart 1">
          <a:extLst>
            <a:ext uri="{FF2B5EF4-FFF2-40B4-BE49-F238E27FC236}">
              <a16:creationId xmlns:a16="http://schemas.microsoft.com/office/drawing/2014/main" id="{55417ABF-2C81-446C-88C1-15BED143F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rique Ruiz" refreshedDate="44847.391748263886" createdVersion="8" refreshedVersion="8" minRefreshableVersion="3" recordCount="95" xr:uid="{0A2407D4-C344-42C2-8D5D-C4C49F99B15D}">
  <cacheSource type="worksheet">
    <worksheetSource ref="B5:B100" sheet="Normal Distribution"/>
  </cacheSource>
  <cacheFields count="1">
    <cacheField name="MBA Grade" numFmtId="0">
      <sharedItems containsSemiMixedTypes="0" containsString="0" containsNumber="1" minValue="62.6" maxValue="96.1" count="81">
        <n v="90.2"/>
        <n v="92.8"/>
        <n v="68.7"/>
        <n v="80.7"/>
        <n v="74.900000000000006"/>
        <n v="83.3"/>
        <n v="88.7"/>
        <n v="75.400000000000006"/>
        <n v="82.1"/>
        <n v="87.5"/>
        <n v="66.900000000000006"/>
        <n v="71.3"/>
        <n v="76.8"/>
        <n v="72.3"/>
        <n v="72.400000000000006"/>
        <n v="72"/>
        <n v="81"/>
        <n v="96.1"/>
        <n v="76.7"/>
        <n v="80.3"/>
        <n v="77.8"/>
        <n v="62.6"/>
        <n v="80.2"/>
        <n v="79.099999999999994"/>
        <n v="75.099999999999994"/>
        <n v="82.2"/>
        <n v="70.5"/>
        <n v="70.8"/>
        <n v="79.5"/>
        <n v="80.8"/>
        <n v="79.599999999999994"/>
        <n v="88.9"/>
        <n v="85.9"/>
        <n v="82.3"/>
        <n v="79.900000000000006"/>
        <n v="86.2"/>
        <n v="79.2"/>
        <n v="83.4"/>
        <n v="85.2"/>
        <n v="71"/>
        <n v="87.2"/>
        <n v="82.9"/>
        <n v="73.5"/>
        <n v="74.599999999999994"/>
        <n v="85.1"/>
        <n v="84.6"/>
        <n v="81.7"/>
        <n v="81.400000000000006"/>
        <n v="83.8"/>
        <n v="88.5"/>
        <n v="84.9"/>
        <n v="84.3"/>
        <n v="78.2"/>
        <n v="80"/>
        <n v="74.8"/>
        <n v="78.5"/>
        <n v="71.8"/>
        <n v="69.900000000000006"/>
        <n v="82.7"/>
        <n v="74"/>
        <n v="84"/>
        <n v="84.7"/>
        <n v="85"/>
        <n v="80.099999999999994"/>
        <n v="85.3"/>
        <n v="79.7"/>
        <n v="78.900000000000006"/>
        <n v="74.2"/>
        <n v="71.7"/>
        <n v="84.1"/>
        <n v="87.4"/>
        <n v="77.400000000000006"/>
        <n v="78.8"/>
        <n v="92.7"/>
        <n v="88.8"/>
        <n v="86.6"/>
        <n v="77.900000000000006"/>
        <n v="86.1"/>
        <n v="89.9"/>
        <n v="83.1"/>
        <n v="82.6"/>
      </sharedItems>
      <fieldGroup base="0">
        <rangePr autoStart="0" autoEnd="0" startNum="60" endNum="100" groupInterval="5"/>
        <groupItems count="10">
          <s v="&lt;60"/>
          <s v="60-65"/>
          <s v="65-70"/>
          <s v="70-75"/>
          <s v="75-80"/>
          <s v="80-85"/>
          <s v="85-90"/>
          <s v="90-95"/>
          <s v="95-100"/>
          <s v="&gt;100"/>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d Mirza" refreshedDate="46113.646051967589" createdVersion="8" refreshedVersion="8" minRefreshableVersion="3" recordCount="95" xr:uid="{41E04587-827F-42D7-82E2-BA13EC0A7A29}">
  <cacheSource type="worksheet">
    <worksheetSource ref="B5:B100" sheet="Categorical Distributions"/>
  </cacheSource>
  <cacheFields count="1">
    <cacheField name="Status" numFmtId="0">
      <sharedItems count="2">
        <s v="Placed"/>
        <s v="Not Placed"/>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d Mirza" refreshedDate="46113.680196643516" createdVersion="8" refreshedVersion="8" minRefreshableVersion="3" recordCount="53" xr:uid="{FADB0539-A85C-4B21-A9D3-756C3EBA9D71}">
  <cacheSource type="worksheet">
    <worksheetSource ref="B5:B58" sheet="Numerical Distributions"/>
  </cacheSource>
  <cacheFields count="1">
    <cacheField name="Annual Salary (Thousands of USD)" numFmtId="0">
      <sharedItems containsSemiMixedTypes="0" containsString="0" containsNumber="1" minValue="75.5" maxValue="340" count="34">
        <n v="111"/>
        <n v="107"/>
        <n v="109"/>
        <n v="148"/>
        <n v="255.5"/>
        <n v="103.5"/>
        <n v="114.5"/>
        <n v="124"/>
        <n v="132.5"/>
        <n v="99"/>
        <n v="82"/>
        <n v="185"/>
        <n v="89.5"/>
        <n v="91.5"/>
        <n v="113.5"/>
        <n v="75.5"/>
        <n v="86"/>
        <n v="156.5"/>
        <n v="99.5"/>
        <n v="205.5"/>
        <n v="340"/>
        <n v="103"/>
        <n v="165"/>
        <n v="124.5"/>
        <n v="82.5"/>
        <n v="93"/>
        <n v="168"/>
        <n v="96"/>
        <n v="80"/>
        <n v="144.5"/>
        <n v="104.5"/>
        <n v="113"/>
        <n v="78"/>
        <n v="84"/>
      </sharedItems>
      <fieldGroup base="0">
        <rangePr autoStart="0" startNum="70" endNum="340" groupInterval="20"/>
        <groupItems count="16">
          <s v="&lt;70"/>
          <s v="70-90"/>
          <s v="90-110"/>
          <s v="110-130"/>
          <s v="130-150"/>
          <s v="150-170"/>
          <s v="170-190"/>
          <s v="190-210"/>
          <s v="210-230"/>
          <s v="230-250"/>
          <s v="250-270"/>
          <s v="270-290"/>
          <s v="290-310"/>
          <s v="310-330"/>
          <s v="330-350"/>
          <s v="&gt;35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x v="0"/>
  </r>
  <r>
    <x v="1"/>
  </r>
  <r>
    <x v="2"/>
  </r>
  <r>
    <x v="3"/>
  </r>
  <r>
    <x v="4"/>
  </r>
  <r>
    <x v="3"/>
  </r>
  <r>
    <x v="5"/>
  </r>
  <r>
    <x v="6"/>
  </r>
  <r>
    <x v="7"/>
  </r>
  <r>
    <x v="8"/>
  </r>
  <r>
    <x v="9"/>
  </r>
  <r>
    <x v="10"/>
  </r>
  <r>
    <x v="11"/>
  </r>
  <r>
    <x v="12"/>
  </r>
  <r>
    <x v="13"/>
  </r>
  <r>
    <x v="14"/>
  </r>
  <r>
    <x v="15"/>
  </r>
  <r>
    <x v="16"/>
  </r>
  <r>
    <x v="17"/>
  </r>
  <r>
    <x v="18"/>
  </r>
  <r>
    <x v="19"/>
  </r>
  <r>
    <x v="20"/>
  </r>
  <r>
    <x v="21"/>
  </r>
  <r>
    <x v="22"/>
  </r>
  <r>
    <x v="23"/>
  </r>
  <r>
    <x v="20"/>
  </r>
  <r>
    <x v="24"/>
  </r>
  <r>
    <x v="25"/>
  </r>
  <r>
    <x v="26"/>
  </r>
  <r>
    <x v="27"/>
  </r>
  <r>
    <x v="9"/>
  </r>
  <r>
    <x v="28"/>
  </r>
  <r>
    <x v="29"/>
  </r>
  <r>
    <x v="30"/>
  </r>
  <r>
    <x v="31"/>
  </r>
  <r>
    <x v="32"/>
  </r>
  <r>
    <x v="33"/>
  </r>
  <r>
    <x v="18"/>
  </r>
  <r>
    <x v="34"/>
  </r>
  <r>
    <x v="35"/>
  </r>
  <r>
    <x v="36"/>
  </r>
  <r>
    <x v="37"/>
  </r>
  <r>
    <x v="38"/>
  </r>
  <r>
    <x v="20"/>
  </r>
  <r>
    <x v="22"/>
  </r>
  <r>
    <x v="39"/>
  </r>
  <r>
    <x v="40"/>
  </r>
  <r>
    <x v="41"/>
  </r>
  <r>
    <x v="42"/>
  </r>
  <r>
    <x v="43"/>
  </r>
  <r>
    <x v="24"/>
  </r>
  <r>
    <x v="44"/>
  </r>
  <r>
    <x v="4"/>
  </r>
  <r>
    <x v="45"/>
  </r>
  <r>
    <x v="46"/>
  </r>
  <r>
    <x v="47"/>
  </r>
  <r>
    <x v="48"/>
  </r>
  <r>
    <x v="49"/>
  </r>
  <r>
    <x v="50"/>
  </r>
  <r>
    <x v="51"/>
  </r>
  <r>
    <x v="52"/>
  </r>
  <r>
    <x v="53"/>
  </r>
  <r>
    <x v="54"/>
  </r>
  <r>
    <x v="55"/>
  </r>
  <r>
    <x v="56"/>
  </r>
  <r>
    <x v="57"/>
  </r>
  <r>
    <x v="58"/>
  </r>
  <r>
    <x v="59"/>
  </r>
  <r>
    <x v="60"/>
  </r>
  <r>
    <x v="61"/>
  </r>
  <r>
    <x v="52"/>
  </r>
  <r>
    <x v="62"/>
  </r>
  <r>
    <x v="63"/>
  </r>
  <r>
    <x v="64"/>
  </r>
  <r>
    <x v="65"/>
  </r>
  <r>
    <x v="30"/>
  </r>
  <r>
    <x v="66"/>
  </r>
  <r>
    <x v="55"/>
  </r>
  <r>
    <x v="15"/>
  </r>
  <r>
    <x v="67"/>
  </r>
  <r>
    <x v="68"/>
  </r>
  <r>
    <x v="3"/>
  </r>
  <r>
    <x v="69"/>
  </r>
  <r>
    <x v="70"/>
  </r>
  <r>
    <x v="71"/>
  </r>
  <r>
    <x v="61"/>
  </r>
  <r>
    <x v="72"/>
  </r>
  <r>
    <x v="73"/>
  </r>
  <r>
    <x v="74"/>
  </r>
  <r>
    <x v="75"/>
  </r>
  <r>
    <x v="76"/>
  </r>
  <r>
    <x v="77"/>
  </r>
  <r>
    <x v="78"/>
  </r>
  <r>
    <x v="79"/>
  </r>
  <r>
    <x v="8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x v="0"/>
  </r>
  <r>
    <x v="1"/>
  </r>
  <r>
    <x v="0"/>
  </r>
  <r>
    <x v="1"/>
  </r>
  <r>
    <x v="1"/>
  </r>
  <r>
    <x v="1"/>
  </r>
  <r>
    <x v="0"/>
  </r>
  <r>
    <x v="0"/>
  </r>
  <r>
    <x v="0"/>
  </r>
  <r>
    <x v="0"/>
  </r>
  <r>
    <x v="1"/>
  </r>
  <r>
    <x v="0"/>
  </r>
  <r>
    <x v="1"/>
  </r>
  <r>
    <x v="0"/>
  </r>
  <r>
    <x v="0"/>
  </r>
  <r>
    <x v="0"/>
  </r>
  <r>
    <x v="1"/>
  </r>
  <r>
    <x v="0"/>
  </r>
  <r>
    <x v="1"/>
  </r>
  <r>
    <x v="1"/>
  </r>
  <r>
    <x v="1"/>
  </r>
  <r>
    <x v="0"/>
  </r>
  <r>
    <x v="1"/>
  </r>
  <r>
    <x v="1"/>
  </r>
  <r>
    <x v="0"/>
  </r>
  <r>
    <x v="0"/>
  </r>
  <r>
    <x v="0"/>
  </r>
  <r>
    <x v="1"/>
  </r>
  <r>
    <x v="1"/>
  </r>
  <r>
    <x v="0"/>
  </r>
  <r>
    <x v="1"/>
  </r>
  <r>
    <x v="1"/>
  </r>
  <r>
    <x v="1"/>
  </r>
  <r>
    <x v="0"/>
  </r>
  <r>
    <x v="1"/>
  </r>
  <r>
    <x v="0"/>
  </r>
  <r>
    <x v="0"/>
  </r>
  <r>
    <x v="1"/>
  </r>
  <r>
    <x v="1"/>
  </r>
  <r>
    <x v="1"/>
  </r>
  <r>
    <x v="0"/>
  </r>
  <r>
    <x v="0"/>
  </r>
  <r>
    <x v="0"/>
  </r>
  <r>
    <x v="1"/>
  </r>
  <r>
    <x v="0"/>
  </r>
  <r>
    <x v="1"/>
  </r>
  <r>
    <x v="0"/>
  </r>
  <r>
    <x v="1"/>
  </r>
  <r>
    <x v="0"/>
  </r>
  <r>
    <x v="0"/>
  </r>
  <r>
    <x v="0"/>
  </r>
  <r>
    <x v="1"/>
  </r>
  <r>
    <x v="0"/>
  </r>
  <r>
    <x v="0"/>
  </r>
  <r>
    <x v="0"/>
  </r>
  <r>
    <x v="0"/>
  </r>
  <r>
    <x v="0"/>
  </r>
  <r>
    <x v="0"/>
  </r>
  <r>
    <x v="0"/>
  </r>
  <r>
    <x v="0"/>
  </r>
  <r>
    <x v="0"/>
  </r>
  <r>
    <x v="1"/>
  </r>
  <r>
    <x v="0"/>
  </r>
  <r>
    <x v="0"/>
  </r>
  <r>
    <x v="1"/>
  </r>
  <r>
    <x v="1"/>
  </r>
  <r>
    <x v="0"/>
  </r>
  <r>
    <x v="1"/>
  </r>
  <r>
    <x v="0"/>
  </r>
  <r>
    <x v="1"/>
  </r>
  <r>
    <x v="0"/>
  </r>
  <r>
    <x v="1"/>
  </r>
  <r>
    <x v="1"/>
  </r>
  <r>
    <x v="1"/>
  </r>
  <r>
    <x v="0"/>
  </r>
  <r>
    <x v="1"/>
  </r>
  <r>
    <x v="1"/>
  </r>
  <r>
    <x v="0"/>
  </r>
  <r>
    <x v="0"/>
  </r>
  <r>
    <x v="1"/>
  </r>
  <r>
    <x v="1"/>
  </r>
  <r>
    <x v="0"/>
  </r>
  <r>
    <x v="1"/>
  </r>
  <r>
    <x v="0"/>
  </r>
  <r>
    <x v="0"/>
  </r>
  <r>
    <x v="0"/>
  </r>
  <r>
    <x v="0"/>
  </r>
  <r>
    <x v="1"/>
  </r>
  <r>
    <x v="0"/>
  </r>
  <r>
    <x v="1"/>
  </r>
  <r>
    <x v="0"/>
  </r>
  <r>
    <x v="0"/>
  </r>
  <r>
    <x v="1"/>
  </r>
  <r>
    <x v="0"/>
  </r>
  <r>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r>
  <r>
    <x v="1"/>
  </r>
  <r>
    <x v="2"/>
  </r>
  <r>
    <x v="3"/>
  </r>
  <r>
    <x v="4"/>
  </r>
  <r>
    <x v="5"/>
  </r>
  <r>
    <x v="6"/>
  </r>
  <r>
    <x v="7"/>
  </r>
  <r>
    <x v="8"/>
  </r>
  <r>
    <x v="9"/>
  </r>
  <r>
    <x v="7"/>
  </r>
  <r>
    <x v="10"/>
  </r>
  <r>
    <x v="11"/>
  </r>
  <r>
    <x v="12"/>
  </r>
  <r>
    <x v="13"/>
  </r>
  <r>
    <x v="14"/>
  </r>
  <r>
    <x v="9"/>
  </r>
  <r>
    <x v="15"/>
  </r>
  <r>
    <x v="16"/>
  </r>
  <r>
    <x v="17"/>
  </r>
  <r>
    <x v="18"/>
  </r>
  <r>
    <x v="3"/>
  </r>
  <r>
    <x v="10"/>
  </r>
  <r>
    <x v="5"/>
  </r>
  <r>
    <x v="19"/>
  </r>
  <r>
    <x v="5"/>
  </r>
  <r>
    <x v="20"/>
  </r>
  <r>
    <x v="5"/>
  </r>
  <r>
    <x v="18"/>
  </r>
  <r>
    <x v="21"/>
  </r>
  <r>
    <x v="5"/>
  </r>
  <r>
    <x v="22"/>
  </r>
  <r>
    <x v="23"/>
  </r>
  <r>
    <x v="5"/>
  </r>
  <r>
    <x v="24"/>
  </r>
  <r>
    <x v="25"/>
  </r>
  <r>
    <x v="26"/>
  </r>
  <r>
    <x v="27"/>
  </r>
  <r>
    <x v="28"/>
  </r>
  <r>
    <x v="23"/>
  </r>
  <r>
    <x v="9"/>
  </r>
  <r>
    <x v="7"/>
  </r>
  <r>
    <x v="13"/>
  </r>
  <r>
    <x v="29"/>
  </r>
  <r>
    <x v="6"/>
  </r>
  <r>
    <x v="30"/>
  </r>
  <r>
    <x v="7"/>
  </r>
  <r>
    <x v="31"/>
  </r>
  <r>
    <x v="32"/>
  </r>
  <r>
    <x v="2"/>
  </r>
  <r>
    <x v="18"/>
  </r>
  <r>
    <x v="1"/>
  </r>
  <r>
    <x v="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254F13-5929-4C37-9F82-7D51C3945CD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location ref="D5:F8" firstHeaderRow="0" firstDataRow="1" firstDataCol="1"/>
  <pivotFields count="1">
    <pivotField axis="axisRow" dataField="1" showAll="0">
      <items count="3">
        <item x="1"/>
        <item x="0"/>
        <item t="default"/>
      </items>
    </pivotField>
  </pivotFields>
  <rowFields count="1">
    <field x="0"/>
  </rowFields>
  <rowItems count="3">
    <i>
      <x/>
    </i>
    <i>
      <x v="1"/>
    </i>
    <i t="grand">
      <x/>
    </i>
  </rowItems>
  <colFields count="1">
    <field x="-2"/>
  </colFields>
  <colItems count="2">
    <i>
      <x/>
    </i>
    <i i="1">
      <x v="1"/>
    </i>
  </colItems>
  <dataFields count="2">
    <dataField name="Frequency" fld="0" subtotal="count" baseField="0" baseItem="0"/>
    <dataField name="Relative Frequency" fld="0" subtotal="count" showDataAs="percentOfCol" baseField="0" baseItem="0" numFmtId="10"/>
  </dataFields>
  <formats count="1">
    <format dxfId="0">
      <pivotArea collapsedLevelsAreSubtotals="1" fieldPosition="0">
        <references count="2">
          <reference field="4294967294" count="1" selected="0">
            <x v="1"/>
          </reference>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81FA63-0334-4F7D-A2DE-0023686844EA}" name="PivotTable2" cacheId="2"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rowHeaderCaption="Annual Salary">
  <location ref="D5:F22" firstHeaderRow="0" firstDataRow="1" firstDataCol="1"/>
  <pivotFields count="1">
    <pivotField axis="axisRow" dataField="1">
      <items count="17">
        <item x="0"/>
        <item x="1"/>
        <item x="2"/>
        <item x="3"/>
        <item x="4"/>
        <item x="5"/>
        <item x="6"/>
        <item x="7"/>
        <item x="8"/>
        <item x="9"/>
        <item x="10"/>
        <item x="11"/>
        <item x="12"/>
        <item x="13"/>
        <item x="14"/>
        <item x="15"/>
        <item t="default"/>
      </items>
    </pivotField>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Frequency" fld="0" subtotal="count" baseField="0" baseItem="0"/>
    <dataField name="Cumulative Relative Frequency" fld="0" subtotal="count" baseField="0" baseItem="0"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5F96FC-062E-444E-BB8F-5DC1DC439AE3}"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compact="0" outline="1" outlineData="1" compactData="0" multipleFieldFilters="0" chartFormat="7">
  <location ref="D5:E14" firstHeaderRow="1" firstDataRow="1" firstDataCol="1"/>
  <pivotFields count="1">
    <pivotField axis="axisRow" dataField="1" compact="0" showAll="0">
      <items count="11">
        <item x="0"/>
        <item x="1"/>
        <item x="2"/>
        <item x="3"/>
        <item x="4"/>
        <item x="5"/>
        <item x="6"/>
        <item x="7"/>
        <item x="8"/>
        <item x="9"/>
        <item t="default"/>
      </items>
    </pivotField>
  </pivotFields>
  <rowFields count="1">
    <field x="0"/>
  </rowFields>
  <rowItems count="9">
    <i>
      <x v="1"/>
    </i>
    <i>
      <x v="2"/>
    </i>
    <i>
      <x v="3"/>
    </i>
    <i>
      <x v="4"/>
    </i>
    <i>
      <x v="5"/>
    </i>
    <i>
      <x v="6"/>
    </i>
    <i>
      <x v="7"/>
    </i>
    <i>
      <x v="8"/>
    </i>
    <i t="grand">
      <x/>
    </i>
  </rowItems>
  <colItems count="1">
    <i/>
  </colItems>
  <dataFields count="1">
    <dataField name="Frequency" fld="0"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F61B1A-0CFD-44A2-BBB9-E72366EAC668}" name="Table1" displayName="Table1" ref="A3:A98" totalsRowShown="0">
  <autoFilter ref="A3:A98" xr:uid="{3CF61B1A-0CFD-44A2-BBB9-E72366EAC668}"/>
  <tableColumns count="1">
    <tableColumn id="1" xr3:uid="{9AA402C7-C772-40A2-8964-CCF8B083E04C}" name="Statu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7.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8.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9.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0.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32.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3.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16368-A499-4EC1-A193-76839E6FAA6C}">
  <sheetPr codeName="Sheet1"/>
  <dimension ref="A1:K96"/>
  <sheetViews>
    <sheetView showGridLines="0" workbookViewId="0">
      <selection activeCell="B1" sqref="B1"/>
    </sheetView>
  </sheetViews>
  <sheetFormatPr defaultRowHeight="14.4" x14ac:dyDescent="0.3"/>
  <cols>
    <col min="1" max="1" width="10" bestFit="1" customWidth="1"/>
    <col min="2" max="2" width="16.44140625" bestFit="1" customWidth="1"/>
    <col min="3" max="3" width="15.5546875" bestFit="1" customWidth="1"/>
    <col min="4" max="4" width="10.5546875" bestFit="1" customWidth="1"/>
    <col min="5" max="5" width="15.21875" bestFit="1" customWidth="1"/>
    <col min="6" max="6" width="20" bestFit="1" customWidth="1"/>
    <col min="7" max="7" width="18.6640625" bestFit="1" customWidth="1"/>
    <col min="8" max="8" width="9.88671875" bestFit="1" customWidth="1"/>
    <col min="9" max="9" width="12.5546875" bestFit="1" customWidth="1"/>
    <col min="10" max="10" width="10.88671875" bestFit="1" customWidth="1"/>
  </cols>
  <sheetData>
    <row r="1" spans="1:11" x14ac:dyDescent="0.3">
      <c r="A1" s="36" t="s">
        <v>19</v>
      </c>
      <c r="B1" s="39" t="s">
        <v>31</v>
      </c>
      <c r="C1" s="39" t="s">
        <v>68</v>
      </c>
      <c r="D1" s="39" t="s">
        <v>69</v>
      </c>
      <c r="E1" s="39" t="s">
        <v>20</v>
      </c>
      <c r="F1" s="39" t="s">
        <v>21</v>
      </c>
      <c r="G1" s="39" t="s">
        <v>22</v>
      </c>
      <c r="H1" s="39" t="s">
        <v>11</v>
      </c>
      <c r="I1" s="37" t="s">
        <v>30</v>
      </c>
    </row>
    <row r="2" spans="1:11" x14ac:dyDescent="0.3">
      <c r="A2" s="46">
        <v>1</v>
      </c>
      <c r="B2" s="46" t="s">
        <v>23</v>
      </c>
      <c r="C2" s="46">
        <v>68.400000000000006</v>
      </c>
      <c r="D2" s="46">
        <v>90.2</v>
      </c>
      <c r="E2" s="46" t="s">
        <v>24</v>
      </c>
      <c r="F2" s="46">
        <v>252</v>
      </c>
      <c r="G2" s="46">
        <v>276</v>
      </c>
      <c r="H2" s="46" t="s">
        <v>12</v>
      </c>
      <c r="I2" s="47">
        <v>111000</v>
      </c>
      <c r="J2" s="6"/>
      <c r="K2" s="6"/>
    </row>
    <row r="3" spans="1:11" x14ac:dyDescent="0.3">
      <c r="A3" s="8">
        <v>2</v>
      </c>
      <c r="B3" s="8" t="s">
        <v>23</v>
      </c>
      <c r="C3" s="8">
        <v>62.1</v>
      </c>
      <c r="D3" s="8">
        <v>92.8</v>
      </c>
      <c r="E3" s="8" t="s">
        <v>24</v>
      </c>
      <c r="F3" s="8">
        <v>423</v>
      </c>
      <c r="G3" s="8">
        <v>410</v>
      </c>
      <c r="H3" s="8" t="s">
        <v>13</v>
      </c>
      <c r="I3" s="8"/>
      <c r="J3" s="6"/>
    </row>
    <row r="4" spans="1:11" x14ac:dyDescent="0.3">
      <c r="A4" s="8">
        <v>3</v>
      </c>
      <c r="B4" s="8" t="s">
        <v>65</v>
      </c>
      <c r="C4" s="8">
        <v>70.2</v>
      </c>
      <c r="D4" s="8">
        <v>68.7</v>
      </c>
      <c r="E4" s="8" t="s">
        <v>26</v>
      </c>
      <c r="F4" s="8">
        <v>101</v>
      </c>
      <c r="G4" s="8">
        <v>119</v>
      </c>
      <c r="H4" s="8" t="s">
        <v>12</v>
      </c>
      <c r="I4" s="12">
        <v>107000</v>
      </c>
      <c r="J4" s="6"/>
    </row>
    <row r="5" spans="1:11" x14ac:dyDescent="0.3">
      <c r="A5" s="8">
        <v>4</v>
      </c>
      <c r="B5" s="8" t="s">
        <v>64</v>
      </c>
      <c r="C5" s="8">
        <v>75.099999999999994</v>
      </c>
      <c r="D5" s="8">
        <v>80.7</v>
      </c>
      <c r="E5" s="8" t="s">
        <v>24</v>
      </c>
      <c r="F5" s="8">
        <v>288</v>
      </c>
      <c r="G5" s="8">
        <v>334</v>
      </c>
      <c r="H5" s="8" t="s">
        <v>13</v>
      </c>
      <c r="I5" s="8"/>
      <c r="J5" s="6"/>
    </row>
    <row r="6" spans="1:11" x14ac:dyDescent="0.3">
      <c r="A6" s="8">
        <v>5</v>
      </c>
      <c r="B6" s="8" t="s">
        <v>66</v>
      </c>
      <c r="C6" s="8">
        <v>60.9</v>
      </c>
      <c r="D6" s="8">
        <v>74.900000000000006</v>
      </c>
      <c r="E6" s="8" t="s">
        <v>24</v>
      </c>
      <c r="F6" s="8">
        <v>248</v>
      </c>
      <c r="G6" s="8">
        <v>252</v>
      </c>
      <c r="H6" s="8" t="s">
        <v>13</v>
      </c>
      <c r="I6" s="8"/>
      <c r="J6" s="6"/>
      <c r="K6" s="6"/>
    </row>
    <row r="7" spans="1:11" x14ac:dyDescent="0.3">
      <c r="A7" s="8">
        <v>6</v>
      </c>
      <c r="B7" s="8" t="s">
        <v>65</v>
      </c>
      <c r="C7" s="8">
        <v>74.5</v>
      </c>
      <c r="D7" s="8">
        <v>80.7</v>
      </c>
      <c r="E7" s="8" t="s">
        <v>24</v>
      </c>
      <c r="F7" s="8">
        <v>145</v>
      </c>
      <c r="G7" s="8">
        <v>209</v>
      </c>
      <c r="H7" s="8" t="s">
        <v>13</v>
      </c>
      <c r="I7" s="8"/>
      <c r="J7" s="6"/>
      <c r="K7" s="6"/>
    </row>
    <row r="8" spans="1:11" x14ac:dyDescent="0.3">
      <c r="A8" s="8">
        <v>7</v>
      </c>
      <c r="B8" s="8" t="s">
        <v>66</v>
      </c>
      <c r="C8" s="8">
        <v>76.400000000000006</v>
      </c>
      <c r="D8" s="8">
        <v>83.3</v>
      </c>
      <c r="E8" s="8" t="s">
        <v>24</v>
      </c>
      <c r="F8" s="8">
        <v>401</v>
      </c>
      <c r="G8" s="8">
        <v>462</v>
      </c>
      <c r="H8" s="8" t="s">
        <v>12</v>
      </c>
      <c r="I8" s="12">
        <v>109000</v>
      </c>
      <c r="J8" s="6"/>
      <c r="K8" s="6"/>
    </row>
    <row r="9" spans="1:11" x14ac:dyDescent="0.3">
      <c r="A9" s="8">
        <v>8</v>
      </c>
      <c r="B9" s="8" t="s">
        <v>23</v>
      </c>
      <c r="C9" s="8">
        <v>82.6</v>
      </c>
      <c r="D9" s="8">
        <v>88.7</v>
      </c>
      <c r="E9" s="8" t="s">
        <v>24</v>
      </c>
      <c r="F9" s="8">
        <v>287</v>
      </c>
      <c r="G9" s="8">
        <v>342</v>
      </c>
      <c r="H9" s="8" t="s">
        <v>12</v>
      </c>
      <c r="I9" s="12">
        <v>148000</v>
      </c>
      <c r="J9" s="6"/>
      <c r="K9" s="6"/>
    </row>
    <row r="10" spans="1:11" x14ac:dyDescent="0.3">
      <c r="A10" s="8">
        <v>9</v>
      </c>
      <c r="B10" s="8" t="s">
        <v>66</v>
      </c>
      <c r="C10" s="8">
        <v>76.900000000000006</v>
      </c>
      <c r="D10" s="8">
        <v>75.400000000000006</v>
      </c>
      <c r="E10" s="8" t="s">
        <v>24</v>
      </c>
      <c r="F10" s="8">
        <v>275</v>
      </c>
      <c r="G10" s="8">
        <v>347</v>
      </c>
      <c r="H10" s="8" t="s">
        <v>12</v>
      </c>
      <c r="I10" s="12">
        <v>255500</v>
      </c>
      <c r="J10" s="6"/>
      <c r="K10" s="6"/>
    </row>
    <row r="11" spans="1:11" x14ac:dyDescent="0.3">
      <c r="A11" s="8">
        <v>10</v>
      </c>
      <c r="B11" s="8" t="s">
        <v>65</v>
      </c>
      <c r="C11" s="8">
        <v>83.3</v>
      </c>
      <c r="D11" s="8">
        <v>82.1</v>
      </c>
      <c r="E11" s="8" t="s">
        <v>24</v>
      </c>
      <c r="F11" s="8">
        <v>254</v>
      </c>
      <c r="G11" s="8">
        <v>313</v>
      </c>
      <c r="H11" s="8" t="s">
        <v>12</v>
      </c>
      <c r="I11" s="12">
        <v>103500</v>
      </c>
      <c r="J11" s="6"/>
      <c r="K11" s="6"/>
    </row>
    <row r="12" spans="1:11" x14ac:dyDescent="0.3">
      <c r="A12" s="8">
        <v>11</v>
      </c>
      <c r="B12" s="8" t="s">
        <v>23</v>
      </c>
      <c r="C12" s="8">
        <v>75.8</v>
      </c>
      <c r="D12" s="8">
        <v>87.5</v>
      </c>
      <c r="E12" s="8" t="s">
        <v>24</v>
      </c>
      <c r="F12" s="8">
        <v>182</v>
      </c>
      <c r="G12" s="8">
        <v>232</v>
      </c>
      <c r="H12" s="8" t="s">
        <v>13</v>
      </c>
      <c r="I12" s="8"/>
      <c r="J12" s="6"/>
      <c r="K12" s="6"/>
    </row>
    <row r="13" spans="1:11" x14ac:dyDescent="0.3">
      <c r="A13" s="8">
        <v>12</v>
      </c>
      <c r="B13" s="8" t="s">
        <v>64</v>
      </c>
      <c r="C13" s="8">
        <v>76</v>
      </c>
      <c r="D13" s="8">
        <v>66.900000000000006</v>
      </c>
      <c r="E13" s="8" t="s">
        <v>24</v>
      </c>
      <c r="F13" s="8">
        <v>117</v>
      </c>
      <c r="G13" s="8">
        <v>163</v>
      </c>
      <c r="H13" s="8" t="s">
        <v>12</v>
      </c>
      <c r="I13" s="12">
        <v>114500</v>
      </c>
      <c r="J13" s="6"/>
      <c r="K13" s="6"/>
    </row>
    <row r="14" spans="1:11" x14ac:dyDescent="0.3">
      <c r="A14" s="8">
        <v>13</v>
      </c>
      <c r="B14" s="8" t="s">
        <v>23</v>
      </c>
      <c r="C14" s="8">
        <v>62.8</v>
      </c>
      <c r="D14" s="8">
        <v>71.3</v>
      </c>
      <c r="E14" s="8" t="s">
        <v>24</v>
      </c>
      <c r="F14" s="8">
        <v>130</v>
      </c>
      <c r="G14" s="8">
        <v>119</v>
      </c>
      <c r="H14" s="8" t="s">
        <v>13</v>
      </c>
      <c r="I14" s="8"/>
      <c r="J14" s="6"/>
      <c r="K14" s="6"/>
    </row>
    <row r="15" spans="1:11" x14ac:dyDescent="0.3">
      <c r="A15" s="8">
        <v>14</v>
      </c>
      <c r="B15" s="8" t="s">
        <v>64</v>
      </c>
      <c r="C15" s="8">
        <v>82.8</v>
      </c>
      <c r="D15" s="8">
        <v>76.8</v>
      </c>
      <c r="E15" s="8" t="s">
        <v>24</v>
      </c>
      <c r="F15" s="8">
        <v>219</v>
      </c>
      <c r="G15" s="8">
        <v>304</v>
      </c>
      <c r="H15" s="8" t="s">
        <v>12</v>
      </c>
      <c r="I15" s="12">
        <v>124000</v>
      </c>
      <c r="J15" s="6"/>
      <c r="K15" s="6"/>
    </row>
    <row r="16" spans="1:11" x14ac:dyDescent="0.3">
      <c r="A16" s="8">
        <v>15</v>
      </c>
      <c r="B16" s="8" t="s">
        <v>23</v>
      </c>
      <c r="C16" s="8">
        <v>76</v>
      </c>
      <c r="D16" s="8">
        <v>72.3</v>
      </c>
      <c r="E16" s="8" t="s">
        <v>24</v>
      </c>
      <c r="F16" s="8">
        <v>152</v>
      </c>
      <c r="G16" s="8">
        <v>211</v>
      </c>
      <c r="H16" s="8" t="s">
        <v>12</v>
      </c>
      <c r="I16" s="12">
        <v>132500</v>
      </c>
      <c r="J16" s="6"/>
      <c r="K16" s="6"/>
    </row>
    <row r="17" spans="1:11" x14ac:dyDescent="0.3">
      <c r="A17" s="8">
        <v>16</v>
      </c>
      <c r="B17" s="8" t="s">
        <v>66</v>
      </c>
      <c r="C17" s="8">
        <v>76.900000000000006</v>
      </c>
      <c r="D17" s="8">
        <v>72.400000000000006</v>
      </c>
      <c r="E17" s="8" t="s">
        <v>24</v>
      </c>
      <c r="F17" s="8">
        <v>228</v>
      </c>
      <c r="G17" s="8">
        <v>286</v>
      </c>
      <c r="H17" s="8" t="s">
        <v>12</v>
      </c>
      <c r="I17" s="12">
        <v>99000</v>
      </c>
      <c r="J17" s="6"/>
      <c r="K17" s="6"/>
    </row>
    <row r="18" spans="1:11" x14ac:dyDescent="0.3">
      <c r="A18" s="8">
        <v>17</v>
      </c>
      <c r="B18" s="8" t="s">
        <v>65</v>
      </c>
      <c r="C18" s="8">
        <v>75.8</v>
      </c>
      <c r="D18" s="8">
        <v>72</v>
      </c>
      <c r="E18" s="8" t="s">
        <v>26</v>
      </c>
      <c r="F18" s="8">
        <v>62</v>
      </c>
      <c r="G18" s="8">
        <v>122</v>
      </c>
      <c r="H18" s="8" t="s">
        <v>13</v>
      </c>
      <c r="I18" s="8"/>
      <c r="J18" s="6"/>
      <c r="K18" s="6"/>
    </row>
    <row r="19" spans="1:11" x14ac:dyDescent="0.3">
      <c r="A19" s="8">
        <v>18</v>
      </c>
      <c r="B19" s="8" t="s">
        <v>67</v>
      </c>
      <c r="C19" s="8">
        <v>78</v>
      </c>
      <c r="D19" s="8">
        <v>81</v>
      </c>
      <c r="E19" s="8" t="s">
        <v>24</v>
      </c>
      <c r="F19" s="8">
        <v>393</v>
      </c>
      <c r="G19" s="8">
        <v>443</v>
      </c>
      <c r="H19" s="8" t="s">
        <v>12</v>
      </c>
      <c r="I19" s="12">
        <v>124000</v>
      </c>
      <c r="J19" s="6"/>
      <c r="K19" s="6"/>
    </row>
    <row r="20" spans="1:11" x14ac:dyDescent="0.3">
      <c r="A20" s="8">
        <v>19</v>
      </c>
      <c r="B20" s="8" t="s">
        <v>23</v>
      </c>
      <c r="C20" s="8">
        <v>82.4</v>
      </c>
      <c r="D20" s="8">
        <v>96.1</v>
      </c>
      <c r="E20" s="8" t="s">
        <v>24</v>
      </c>
      <c r="F20" s="8">
        <v>277</v>
      </c>
      <c r="G20" s="8">
        <v>366</v>
      </c>
      <c r="H20" s="8" t="s">
        <v>13</v>
      </c>
      <c r="I20" s="8"/>
      <c r="J20" s="6"/>
      <c r="K20" s="6"/>
    </row>
    <row r="21" spans="1:11" x14ac:dyDescent="0.3">
      <c r="A21" s="8">
        <v>20</v>
      </c>
      <c r="B21" s="8" t="s">
        <v>65</v>
      </c>
      <c r="C21" s="8">
        <v>76.2</v>
      </c>
      <c r="D21" s="8">
        <v>76.7</v>
      </c>
      <c r="E21" s="8" t="s">
        <v>24</v>
      </c>
      <c r="F21" s="8">
        <v>206</v>
      </c>
      <c r="G21" s="8">
        <v>244</v>
      </c>
      <c r="H21" s="8" t="s">
        <v>13</v>
      </c>
      <c r="I21" s="8"/>
      <c r="J21" s="6"/>
      <c r="K21" s="6"/>
    </row>
    <row r="22" spans="1:11" x14ac:dyDescent="0.3">
      <c r="A22" s="8">
        <v>21</v>
      </c>
      <c r="B22" s="8" t="s">
        <v>23</v>
      </c>
      <c r="C22" s="8">
        <v>62.5</v>
      </c>
      <c r="D22" s="8">
        <v>80.3</v>
      </c>
      <c r="E22" s="8" t="s">
        <v>24</v>
      </c>
      <c r="F22" s="8">
        <v>229</v>
      </c>
      <c r="G22" s="8">
        <v>241</v>
      </c>
      <c r="H22" s="8" t="s">
        <v>13</v>
      </c>
      <c r="I22" s="8"/>
      <c r="J22" s="6"/>
      <c r="K22" s="6"/>
    </row>
    <row r="23" spans="1:11" x14ac:dyDescent="0.3">
      <c r="A23" s="8">
        <v>22</v>
      </c>
      <c r="B23" s="8" t="s">
        <v>67</v>
      </c>
      <c r="C23" s="8">
        <v>78</v>
      </c>
      <c r="D23" s="8">
        <v>77.8</v>
      </c>
      <c r="E23" s="8" t="s">
        <v>24</v>
      </c>
      <c r="F23" s="8">
        <v>182</v>
      </c>
      <c r="G23" s="8">
        <v>237</v>
      </c>
      <c r="H23" s="8" t="s">
        <v>12</v>
      </c>
      <c r="I23" s="12">
        <v>82000</v>
      </c>
      <c r="J23" s="6"/>
      <c r="K23" s="6"/>
    </row>
    <row r="24" spans="1:11" x14ac:dyDescent="0.3">
      <c r="A24" s="8">
        <v>23</v>
      </c>
      <c r="B24" s="8" t="s">
        <v>64</v>
      </c>
      <c r="C24" s="8">
        <v>66.5</v>
      </c>
      <c r="D24" s="8">
        <v>62.6</v>
      </c>
      <c r="E24" s="8" t="s">
        <v>24</v>
      </c>
      <c r="F24" s="8">
        <v>98</v>
      </c>
      <c r="G24" s="8">
        <v>122</v>
      </c>
      <c r="H24" s="8" t="s">
        <v>13</v>
      </c>
      <c r="I24" s="8"/>
      <c r="J24" s="6"/>
      <c r="K24" s="6"/>
    </row>
    <row r="25" spans="1:11" x14ac:dyDescent="0.3">
      <c r="A25" s="8">
        <v>24</v>
      </c>
      <c r="B25" s="8" t="s">
        <v>65</v>
      </c>
      <c r="C25" s="8">
        <v>63.5</v>
      </c>
      <c r="D25" s="8">
        <v>80.2</v>
      </c>
      <c r="E25" s="8" t="s">
        <v>24</v>
      </c>
      <c r="F25" s="8">
        <v>125</v>
      </c>
      <c r="G25" s="8">
        <v>129</v>
      </c>
      <c r="H25" s="8" t="s">
        <v>13</v>
      </c>
      <c r="I25" s="8"/>
      <c r="J25" s="6"/>
      <c r="K25" s="6"/>
    </row>
    <row r="26" spans="1:11" x14ac:dyDescent="0.3">
      <c r="A26" s="8">
        <v>25</v>
      </c>
      <c r="B26" s="8" t="s">
        <v>23</v>
      </c>
      <c r="C26" s="8">
        <v>82.6</v>
      </c>
      <c r="D26" s="8">
        <v>79.099999999999994</v>
      </c>
      <c r="E26" s="8" t="s">
        <v>24</v>
      </c>
      <c r="F26" s="8">
        <v>164</v>
      </c>
      <c r="G26" s="8">
        <v>236</v>
      </c>
      <c r="H26" s="8" t="s">
        <v>12</v>
      </c>
      <c r="I26" s="12">
        <v>185000</v>
      </c>
      <c r="J26" s="6"/>
      <c r="K26" s="6"/>
    </row>
    <row r="27" spans="1:11" x14ac:dyDescent="0.3">
      <c r="A27" s="8">
        <v>26</v>
      </c>
      <c r="B27" s="8" t="s">
        <v>65</v>
      </c>
      <c r="C27" s="8">
        <v>79.2</v>
      </c>
      <c r="D27" s="8">
        <v>77.8</v>
      </c>
      <c r="E27" s="8" t="s">
        <v>24</v>
      </c>
      <c r="F27" s="8">
        <v>186</v>
      </c>
      <c r="G27" s="8">
        <v>251</v>
      </c>
      <c r="H27" s="8" t="s">
        <v>12</v>
      </c>
      <c r="I27" s="12">
        <v>89500</v>
      </c>
      <c r="J27" s="6"/>
      <c r="K27" s="6"/>
    </row>
    <row r="28" spans="1:11" x14ac:dyDescent="0.3">
      <c r="A28" s="8">
        <v>27</v>
      </c>
      <c r="B28" s="8" t="s">
        <v>65</v>
      </c>
      <c r="C28" s="8">
        <v>75</v>
      </c>
      <c r="D28" s="8">
        <v>75.099999999999994</v>
      </c>
      <c r="E28" s="8" t="s">
        <v>24</v>
      </c>
      <c r="F28" s="8">
        <v>235</v>
      </c>
      <c r="G28" s="8">
        <v>283</v>
      </c>
      <c r="H28" s="8" t="s">
        <v>12</v>
      </c>
      <c r="I28" s="12">
        <v>91500</v>
      </c>
      <c r="J28" s="6"/>
      <c r="K28" s="6"/>
    </row>
    <row r="29" spans="1:11" x14ac:dyDescent="0.3">
      <c r="A29" s="8">
        <v>28</v>
      </c>
      <c r="B29" s="8" t="s">
        <v>67</v>
      </c>
      <c r="C29" s="8">
        <v>74.400000000000006</v>
      </c>
      <c r="D29" s="8">
        <v>82.2</v>
      </c>
      <c r="E29" s="8" t="s">
        <v>24</v>
      </c>
      <c r="F29" s="8">
        <v>184</v>
      </c>
      <c r="G29" s="8">
        <v>225</v>
      </c>
      <c r="H29" s="8" t="s">
        <v>13</v>
      </c>
      <c r="I29" s="8"/>
      <c r="J29" s="6"/>
      <c r="K29" s="6"/>
    </row>
    <row r="30" spans="1:11" x14ac:dyDescent="0.3">
      <c r="A30" s="8">
        <v>29</v>
      </c>
      <c r="B30" s="8" t="s">
        <v>66</v>
      </c>
      <c r="C30" s="8">
        <v>67.900000000000006</v>
      </c>
      <c r="D30" s="8">
        <v>70.5</v>
      </c>
      <c r="E30" s="8" t="s">
        <v>24</v>
      </c>
      <c r="F30" s="8">
        <v>76</v>
      </c>
      <c r="G30" s="8">
        <v>102</v>
      </c>
      <c r="H30" s="8" t="s">
        <v>13</v>
      </c>
      <c r="I30" s="8"/>
      <c r="J30" s="6"/>
      <c r="K30" s="6"/>
    </row>
    <row r="31" spans="1:11" x14ac:dyDescent="0.3">
      <c r="A31" s="8">
        <v>30</v>
      </c>
      <c r="B31" s="8" t="s">
        <v>67</v>
      </c>
      <c r="C31" s="8">
        <v>76.8</v>
      </c>
      <c r="D31" s="8">
        <v>70.8</v>
      </c>
      <c r="E31" s="8" t="s">
        <v>24</v>
      </c>
      <c r="F31" s="8">
        <v>126</v>
      </c>
      <c r="G31" s="8">
        <v>180</v>
      </c>
      <c r="H31" s="8" t="s">
        <v>12</v>
      </c>
      <c r="I31" s="12">
        <v>113500</v>
      </c>
      <c r="J31" s="6"/>
      <c r="K31" s="6"/>
    </row>
    <row r="32" spans="1:11" x14ac:dyDescent="0.3">
      <c r="A32" s="8">
        <v>31</v>
      </c>
      <c r="B32" s="8" t="s">
        <v>23</v>
      </c>
      <c r="C32" s="8">
        <v>83</v>
      </c>
      <c r="D32" s="8">
        <v>87.5</v>
      </c>
      <c r="E32" s="8" t="s">
        <v>24</v>
      </c>
      <c r="F32" s="8">
        <v>183</v>
      </c>
      <c r="G32" s="8">
        <v>247</v>
      </c>
      <c r="H32" s="8" t="s">
        <v>13</v>
      </c>
      <c r="I32" s="8"/>
      <c r="J32" s="6"/>
      <c r="K32" s="6"/>
    </row>
    <row r="33" spans="1:11" x14ac:dyDescent="0.3">
      <c r="A33" s="8">
        <v>32</v>
      </c>
      <c r="B33" s="8" t="s">
        <v>65</v>
      </c>
      <c r="C33" s="8">
        <v>88.9</v>
      </c>
      <c r="D33" s="8">
        <v>79.5</v>
      </c>
      <c r="E33" s="8" t="s">
        <v>24</v>
      </c>
      <c r="F33" s="8">
        <v>242</v>
      </c>
      <c r="G33" s="8">
        <v>343</v>
      </c>
      <c r="H33" s="8" t="s">
        <v>13</v>
      </c>
      <c r="I33" s="8"/>
      <c r="J33" s="6"/>
      <c r="K33" s="6"/>
    </row>
    <row r="34" spans="1:11" x14ac:dyDescent="0.3">
      <c r="A34" s="8">
        <v>33</v>
      </c>
      <c r="B34" s="8" t="s">
        <v>23</v>
      </c>
      <c r="C34" s="8">
        <v>76.5</v>
      </c>
      <c r="D34" s="8">
        <v>80.8</v>
      </c>
      <c r="E34" s="8" t="s">
        <v>24</v>
      </c>
      <c r="F34" s="8">
        <v>207</v>
      </c>
      <c r="G34" s="8">
        <v>283</v>
      </c>
      <c r="H34" s="8" t="s">
        <v>13</v>
      </c>
      <c r="I34" s="8"/>
      <c r="J34" s="6"/>
      <c r="K34" s="6"/>
    </row>
    <row r="35" spans="1:11" x14ac:dyDescent="0.3">
      <c r="A35" s="8">
        <v>34</v>
      </c>
      <c r="B35" s="8" t="s">
        <v>66</v>
      </c>
      <c r="C35" s="8">
        <v>79.900000000000006</v>
      </c>
      <c r="D35" s="8">
        <v>79.599999999999994</v>
      </c>
      <c r="E35" s="8" t="s">
        <v>26</v>
      </c>
      <c r="F35" s="8">
        <v>181</v>
      </c>
      <c r="G35" s="8">
        <v>253</v>
      </c>
      <c r="H35" s="8" t="s">
        <v>12</v>
      </c>
      <c r="I35" s="12">
        <v>99000</v>
      </c>
      <c r="J35" s="6"/>
      <c r="K35" s="6"/>
    </row>
    <row r="36" spans="1:11" x14ac:dyDescent="0.3">
      <c r="A36" s="8">
        <v>35</v>
      </c>
      <c r="B36" s="8" t="s">
        <v>23</v>
      </c>
      <c r="C36" s="8">
        <v>70.400000000000006</v>
      </c>
      <c r="D36" s="8">
        <v>88.9</v>
      </c>
      <c r="E36" s="8" t="s">
        <v>24</v>
      </c>
      <c r="F36" s="8">
        <v>239</v>
      </c>
      <c r="G36" s="8">
        <v>263</v>
      </c>
      <c r="H36" s="8" t="s">
        <v>13</v>
      </c>
      <c r="I36" s="8"/>
      <c r="J36" s="6"/>
      <c r="K36" s="6"/>
    </row>
    <row r="37" spans="1:11" x14ac:dyDescent="0.3">
      <c r="A37" s="8">
        <v>36</v>
      </c>
      <c r="B37" s="8" t="s">
        <v>67</v>
      </c>
      <c r="C37" s="8">
        <v>83.4</v>
      </c>
      <c r="D37" s="8">
        <v>85.9</v>
      </c>
      <c r="E37" s="8" t="s">
        <v>24</v>
      </c>
      <c r="F37" s="8">
        <v>216</v>
      </c>
      <c r="G37" s="8">
        <v>291</v>
      </c>
      <c r="H37" s="8" t="s">
        <v>12</v>
      </c>
      <c r="I37" s="12">
        <v>75500</v>
      </c>
      <c r="J37" s="6"/>
      <c r="K37" s="6"/>
    </row>
    <row r="38" spans="1:11" x14ac:dyDescent="0.3">
      <c r="A38" s="8">
        <v>37</v>
      </c>
      <c r="B38" s="8" t="s">
        <v>23</v>
      </c>
      <c r="C38" s="8">
        <v>79.2</v>
      </c>
      <c r="D38" s="8">
        <v>82.3</v>
      </c>
      <c r="E38" s="8" t="s">
        <v>26</v>
      </c>
      <c r="F38" s="8">
        <v>289</v>
      </c>
      <c r="G38" s="8">
        <v>368</v>
      </c>
      <c r="H38" s="8" t="s">
        <v>12</v>
      </c>
      <c r="I38" s="12">
        <v>86000</v>
      </c>
      <c r="J38" s="6"/>
      <c r="K38" s="6"/>
    </row>
    <row r="39" spans="1:11" x14ac:dyDescent="0.3">
      <c r="A39" s="8">
        <v>38</v>
      </c>
      <c r="B39" s="8" t="s">
        <v>64</v>
      </c>
      <c r="C39" s="8">
        <v>61.2</v>
      </c>
      <c r="D39" s="8">
        <v>76.7</v>
      </c>
      <c r="E39" s="8" t="s">
        <v>24</v>
      </c>
      <c r="F39" s="8">
        <v>213</v>
      </c>
      <c r="G39" s="8">
        <v>206</v>
      </c>
      <c r="H39" s="8" t="s">
        <v>13</v>
      </c>
      <c r="I39" s="8"/>
      <c r="J39" s="6"/>
      <c r="K39" s="6"/>
    </row>
    <row r="40" spans="1:11" x14ac:dyDescent="0.3">
      <c r="A40" s="8">
        <v>39</v>
      </c>
      <c r="B40" s="8" t="s">
        <v>67</v>
      </c>
      <c r="C40" s="8">
        <v>64</v>
      </c>
      <c r="D40" s="8">
        <v>79.900000000000006</v>
      </c>
      <c r="E40" s="8" t="s">
        <v>24</v>
      </c>
      <c r="F40" s="8">
        <v>209</v>
      </c>
      <c r="G40" s="8">
        <v>231</v>
      </c>
      <c r="H40" s="8" t="s">
        <v>13</v>
      </c>
      <c r="I40" s="8"/>
      <c r="J40" s="6"/>
      <c r="K40" s="6"/>
    </row>
    <row r="41" spans="1:11" x14ac:dyDescent="0.3">
      <c r="A41" s="8">
        <v>40</v>
      </c>
      <c r="B41" s="8" t="s">
        <v>67</v>
      </c>
      <c r="C41" s="8">
        <v>68</v>
      </c>
      <c r="D41" s="8">
        <v>86.2</v>
      </c>
      <c r="E41" s="8" t="s">
        <v>26</v>
      </c>
      <c r="F41" s="8">
        <v>376</v>
      </c>
      <c r="G41" s="8">
        <v>389</v>
      </c>
      <c r="H41" s="8" t="s">
        <v>13</v>
      </c>
      <c r="I41" s="8"/>
      <c r="J41" s="6"/>
      <c r="K41" s="6"/>
    </row>
    <row r="42" spans="1:11" x14ac:dyDescent="0.3">
      <c r="A42" s="8">
        <v>41</v>
      </c>
      <c r="B42" s="8" t="s">
        <v>64</v>
      </c>
      <c r="C42" s="8">
        <v>78.5</v>
      </c>
      <c r="D42" s="8">
        <v>79.2</v>
      </c>
      <c r="E42" s="8" t="s">
        <v>24</v>
      </c>
      <c r="F42" s="8">
        <v>332</v>
      </c>
      <c r="G42" s="8">
        <v>396</v>
      </c>
      <c r="H42" s="8" t="s">
        <v>12</v>
      </c>
      <c r="I42" s="12">
        <v>156500</v>
      </c>
      <c r="J42" s="6"/>
      <c r="K42" s="6"/>
    </row>
    <row r="43" spans="1:11" x14ac:dyDescent="0.3">
      <c r="A43" s="8">
        <v>42</v>
      </c>
      <c r="B43" s="8" t="s">
        <v>23</v>
      </c>
      <c r="C43" s="8">
        <v>83</v>
      </c>
      <c r="D43" s="8">
        <v>83.4</v>
      </c>
      <c r="E43" s="8" t="s">
        <v>26</v>
      </c>
      <c r="F43" s="8">
        <v>249</v>
      </c>
      <c r="G43" s="8">
        <v>339</v>
      </c>
      <c r="H43" s="8" t="s">
        <v>12</v>
      </c>
      <c r="I43" s="12">
        <v>99500</v>
      </c>
      <c r="J43" s="6"/>
      <c r="K43" s="6"/>
    </row>
    <row r="44" spans="1:11" x14ac:dyDescent="0.3">
      <c r="A44" s="8">
        <v>43</v>
      </c>
      <c r="B44" s="8" t="s">
        <v>66</v>
      </c>
      <c r="C44" s="8">
        <v>75.2</v>
      </c>
      <c r="D44" s="8">
        <v>85.2</v>
      </c>
      <c r="E44" s="8" t="s">
        <v>26</v>
      </c>
      <c r="F44" s="8">
        <v>228</v>
      </c>
      <c r="G44" s="8">
        <v>286</v>
      </c>
      <c r="H44" s="8" t="s">
        <v>12</v>
      </c>
      <c r="I44" s="12">
        <v>148000</v>
      </c>
      <c r="J44" s="6"/>
      <c r="K44" s="6"/>
    </row>
    <row r="45" spans="1:11" x14ac:dyDescent="0.3">
      <c r="A45" s="8">
        <v>44</v>
      </c>
      <c r="B45" s="8" t="s">
        <v>23</v>
      </c>
      <c r="C45" s="8">
        <v>68.099999999999994</v>
      </c>
      <c r="D45" s="8">
        <v>77.8</v>
      </c>
      <c r="E45" s="8" t="s">
        <v>24</v>
      </c>
      <c r="F45" s="8">
        <v>124</v>
      </c>
      <c r="G45" s="8">
        <v>146</v>
      </c>
      <c r="H45" s="8" t="s">
        <v>13</v>
      </c>
      <c r="I45" s="8"/>
      <c r="J45" s="6"/>
      <c r="K45" s="6"/>
    </row>
    <row r="46" spans="1:11" x14ac:dyDescent="0.3">
      <c r="A46" s="8">
        <v>45</v>
      </c>
      <c r="B46" s="8" t="s">
        <v>66</v>
      </c>
      <c r="C46" s="8">
        <v>93.6</v>
      </c>
      <c r="D46" s="8">
        <v>80.2</v>
      </c>
      <c r="E46" s="8" t="s">
        <v>24</v>
      </c>
      <c r="F46" s="8">
        <v>194</v>
      </c>
      <c r="G46" s="8">
        <v>315</v>
      </c>
      <c r="H46" s="8" t="s">
        <v>12</v>
      </c>
      <c r="I46" s="12">
        <v>82000</v>
      </c>
      <c r="J46" s="6"/>
      <c r="K46" s="6"/>
    </row>
    <row r="47" spans="1:11" x14ac:dyDescent="0.3">
      <c r="A47" s="8">
        <v>46</v>
      </c>
      <c r="B47" s="8" t="s">
        <v>23</v>
      </c>
      <c r="C47" s="8">
        <v>75.599999999999994</v>
      </c>
      <c r="D47" s="8">
        <v>71</v>
      </c>
      <c r="E47" s="8" t="s">
        <v>26</v>
      </c>
      <c r="F47" s="8">
        <v>157</v>
      </c>
      <c r="G47" s="8">
        <v>183</v>
      </c>
      <c r="H47" s="8" t="s">
        <v>13</v>
      </c>
      <c r="I47" s="8"/>
      <c r="J47" s="6"/>
      <c r="K47" s="6"/>
    </row>
    <row r="48" spans="1:11" x14ac:dyDescent="0.3">
      <c r="A48" s="8">
        <v>47</v>
      </c>
      <c r="B48" s="8" t="s">
        <v>23</v>
      </c>
      <c r="C48" s="8">
        <v>82.3</v>
      </c>
      <c r="D48" s="8">
        <v>87.2</v>
      </c>
      <c r="E48" s="8" t="s">
        <v>24</v>
      </c>
      <c r="F48" s="8">
        <v>402</v>
      </c>
      <c r="G48" s="8">
        <v>481</v>
      </c>
      <c r="H48" s="8" t="s">
        <v>12</v>
      </c>
      <c r="I48" s="12">
        <v>103500</v>
      </c>
      <c r="J48" s="6"/>
      <c r="K48" s="6"/>
    </row>
    <row r="49" spans="1:11" x14ac:dyDescent="0.3">
      <c r="A49" s="8">
        <v>48</v>
      </c>
      <c r="B49" s="8" t="s">
        <v>23</v>
      </c>
      <c r="C49" s="8">
        <v>71.400000000000006</v>
      </c>
      <c r="D49" s="8">
        <v>82.9</v>
      </c>
      <c r="E49" s="8" t="s">
        <v>24</v>
      </c>
      <c r="F49" s="8">
        <v>323</v>
      </c>
      <c r="G49" s="8">
        <v>349</v>
      </c>
      <c r="H49" s="8" t="s">
        <v>13</v>
      </c>
      <c r="I49" s="8"/>
      <c r="J49" s="6"/>
      <c r="K49" s="6"/>
    </row>
    <row r="50" spans="1:11" x14ac:dyDescent="0.3">
      <c r="A50" s="8">
        <v>49</v>
      </c>
      <c r="B50" s="8" t="s">
        <v>64</v>
      </c>
      <c r="C50" s="8">
        <v>71.900000000000006</v>
      </c>
      <c r="D50" s="8">
        <v>73.5</v>
      </c>
      <c r="E50" s="8" t="s">
        <v>24</v>
      </c>
      <c r="F50" s="8">
        <v>181</v>
      </c>
      <c r="G50" s="8">
        <v>225</v>
      </c>
      <c r="H50" s="8" t="s">
        <v>12</v>
      </c>
      <c r="I50" s="12">
        <v>205500</v>
      </c>
      <c r="J50" s="6"/>
      <c r="K50" s="6"/>
    </row>
    <row r="51" spans="1:11" x14ac:dyDescent="0.3">
      <c r="A51" s="8">
        <v>50</v>
      </c>
      <c r="B51" s="8" t="s">
        <v>67</v>
      </c>
      <c r="C51" s="8">
        <v>79.099999999999994</v>
      </c>
      <c r="D51" s="8">
        <v>74.599999999999994</v>
      </c>
      <c r="E51" s="8" t="s">
        <v>24</v>
      </c>
      <c r="F51" s="8">
        <v>157</v>
      </c>
      <c r="G51" s="8">
        <v>217</v>
      </c>
      <c r="H51" s="8" t="s">
        <v>12</v>
      </c>
      <c r="I51" s="12">
        <v>103500</v>
      </c>
      <c r="J51" s="6"/>
      <c r="K51" s="6"/>
    </row>
    <row r="52" spans="1:11" x14ac:dyDescent="0.3">
      <c r="A52" s="8">
        <v>51</v>
      </c>
      <c r="B52" s="8" t="s">
        <v>23</v>
      </c>
      <c r="C52" s="8">
        <v>88.7</v>
      </c>
      <c r="D52" s="8">
        <v>75.099999999999994</v>
      </c>
      <c r="E52" s="8" t="s">
        <v>26</v>
      </c>
      <c r="F52" s="8">
        <v>266</v>
      </c>
      <c r="G52" s="8">
        <v>353</v>
      </c>
      <c r="H52" s="8" t="s">
        <v>12</v>
      </c>
      <c r="I52" s="12">
        <v>340000</v>
      </c>
      <c r="J52" s="6"/>
      <c r="K52" s="6"/>
    </row>
    <row r="53" spans="1:11" x14ac:dyDescent="0.3">
      <c r="A53" s="8">
        <v>52</v>
      </c>
      <c r="B53" s="8" t="s">
        <v>64</v>
      </c>
      <c r="C53" s="8">
        <v>69.400000000000006</v>
      </c>
      <c r="D53" s="8">
        <v>85.1</v>
      </c>
      <c r="E53" s="8" t="s">
        <v>24</v>
      </c>
      <c r="F53" s="8">
        <v>268</v>
      </c>
      <c r="G53" s="8">
        <v>314</v>
      </c>
      <c r="H53" s="8" t="s">
        <v>13</v>
      </c>
      <c r="I53" s="8"/>
      <c r="J53" s="6"/>
      <c r="K53" s="6"/>
    </row>
    <row r="54" spans="1:11" x14ac:dyDescent="0.3">
      <c r="A54" s="8">
        <v>53</v>
      </c>
      <c r="B54" s="8" t="s">
        <v>23</v>
      </c>
      <c r="C54" s="8">
        <v>80.3</v>
      </c>
      <c r="D54" s="8">
        <v>74.900000000000006</v>
      </c>
      <c r="E54" s="8" t="s">
        <v>26</v>
      </c>
      <c r="F54" s="8">
        <v>167</v>
      </c>
      <c r="G54" s="8">
        <v>247</v>
      </c>
      <c r="H54" s="8" t="s">
        <v>12</v>
      </c>
      <c r="I54" s="12">
        <v>103500</v>
      </c>
      <c r="J54" s="6"/>
      <c r="K54" s="6"/>
    </row>
    <row r="55" spans="1:11" x14ac:dyDescent="0.3">
      <c r="A55" s="8">
        <v>54</v>
      </c>
      <c r="B55" s="8" t="s">
        <v>66</v>
      </c>
      <c r="C55" s="8">
        <v>83</v>
      </c>
      <c r="D55" s="8">
        <v>84.6</v>
      </c>
      <c r="E55" s="8" t="s">
        <v>26</v>
      </c>
      <c r="F55" s="8">
        <v>342</v>
      </c>
      <c r="G55" s="8">
        <v>410</v>
      </c>
      <c r="H55" s="8" t="s">
        <v>12</v>
      </c>
      <c r="I55" s="12">
        <v>99500</v>
      </c>
      <c r="J55" s="6"/>
      <c r="K55" s="6"/>
    </row>
    <row r="56" spans="1:11" x14ac:dyDescent="0.3">
      <c r="A56" s="8">
        <v>55</v>
      </c>
      <c r="B56" s="8" t="s">
        <v>23</v>
      </c>
      <c r="C56" s="8">
        <v>74.099999999999994</v>
      </c>
      <c r="D56" s="8">
        <v>81.7</v>
      </c>
      <c r="E56" s="8" t="s">
        <v>26</v>
      </c>
      <c r="F56" s="8">
        <v>349</v>
      </c>
      <c r="G56" s="8">
        <v>395</v>
      </c>
      <c r="H56" s="8" t="s">
        <v>12</v>
      </c>
      <c r="I56" s="12">
        <v>103000</v>
      </c>
      <c r="J56" s="6"/>
      <c r="K56" s="6"/>
    </row>
    <row r="57" spans="1:11" x14ac:dyDescent="0.3">
      <c r="A57" s="8">
        <v>56</v>
      </c>
      <c r="B57" s="8" t="s">
        <v>64</v>
      </c>
      <c r="C57" s="8">
        <v>79.400000000000006</v>
      </c>
      <c r="D57" s="8">
        <v>81.400000000000006</v>
      </c>
      <c r="E57" s="8" t="s">
        <v>24</v>
      </c>
      <c r="F57" s="8">
        <v>340</v>
      </c>
      <c r="G57" s="8">
        <v>416</v>
      </c>
      <c r="H57" s="8" t="s">
        <v>12</v>
      </c>
      <c r="I57" s="12">
        <v>103500</v>
      </c>
      <c r="J57" s="6"/>
      <c r="K57" s="6"/>
    </row>
    <row r="58" spans="1:11" x14ac:dyDescent="0.3">
      <c r="A58" s="8">
        <v>57</v>
      </c>
      <c r="B58" s="8" t="s">
        <v>23</v>
      </c>
      <c r="C58" s="8">
        <v>88.1</v>
      </c>
      <c r="D58" s="8">
        <v>83.8</v>
      </c>
      <c r="E58" s="8" t="s">
        <v>26</v>
      </c>
      <c r="F58" s="8">
        <v>227</v>
      </c>
      <c r="G58" s="8">
        <v>342</v>
      </c>
      <c r="H58" s="8" t="s">
        <v>12</v>
      </c>
      <c r="I58" s="12">
        <v>165000</v>
      </c>
      <c r="J58" s="6"/>
      <c r="K58" s="6"/>
    </row>
    <row r="59" spans="1:11" x14ac:dyDescent="0.3">
      <c r="A59" s="8">
        <v>58</v>
      </c>
      <c r="B59" s="8" t="s">
        <v>65</v>
      </c>
      <c r="C59" s="8">
        <v>74.599999999999994</v>
      </c>
      <c r="D59" s="8">
        <v>88.5</v>
      </c>
      <c r="E59" s="8" t="s">
        <v>26</v>
      </c>
      <c r="F59" s="8">
        <v>409</v>
      </c>
      <c r="G59" s="8">
        <v>446</v>
      </c>
      <c r="H59" s="8" t="s">
        <v>12</v>
      </c>
      <c r="I59" s="12">
        <v>124500</v>
      </c>
      <c r="J59" s="6"/>
      <c r="K59" s="6"/>
    </row>
    <row r="60" spans="1:11" x14ac:dyDescent="0.3">
      <c r="A60" s="8">
        <v>59</v>
      </c>
      <c r="B60" s="8" t="s">
        <v>65</v>
      </c>
      <c r="C60" s="8">
        <v>87.1</v>
      </c>
      <c r="D60" s="8">
        <v>84.9</v>
      </c>
      <c r="E60" s="8" t="s">
        <v>26</v>
      </c>
      <c r="F60" s="8">
        <v>400</v>
      </c>
      <c r="G60" s="8">
        <v>477</v>
      </c>
      <c r="H60" s="8" t="s">
        <v>12</v>
      </c>
      <c r="I60" s="12">
        <v>103500</v>
      </c>
      <c r="J60" s="6"/>
      <c r="K60" s="6"/>
    </row>
    <row r="61" spans="1:11" x14ac:dyDescent="0.3">
      <c r="A61" s="8">
        <v>60</v>
      </c>
      <c r="B61" s="8" t="s">
        <v>65</v>
      </c>
      <c r="C61" s="8">
        <v>79.7</v>
      </c>
      <c r="D61" s="8">
        <v>84.3</v>
      </c>
      <c r="E61" s="8" t="s">
        <v>24</v>
      </c>
      <c r="F61" s="8">
        <v>374</v>
      </c>
      <c r="G61" s="8">
        <v>444</v>
      </c>
      <c r="H61" s="8" t="s">
        <v>12</v>
      </c>
      <c r="I61" s="12">
        <v>82500</v>
      </c>
      <c r="J61" s="6"/>
      <c r="K61" s="6"/>
    </row>
    <row r="62" spans="1:11" x14ac:dyDescent="0.3">
      <c r="A62" s="8">
        <v>61</v>
      </c>
      <c r="B62" s="8" t="s">
        <v>65</v>
      </c>
      <c r="C62" s="8">
        <v>82.1</v>
      </c>
      <c r="D62" s="8">
        <v>78.2</v>
      </c>
      <c r="E62" s="8" t="s">
        <v>24</v>
      </c>
      <c r="F62" s="8">
        <v>255</v>
      </c>
      <c r="G62" s="8">
        <v>351</v>
      </c>
      <c r="H62" s="8" t="s">
        <v>12</v>
      </c>
      <c r="I62" s="12">
        <v>93000</v>
      </c>
      <c r="J62" s="6"/>
      <c r="K62" s="6"/>
    </row>
    <row r="63" spans="1:11" x14ac:dyDescent="0.3">
      <c r="A63" s="8">
        <v>62</v>
      </c>
      <c r="B63" s="8" t="s">
        <v>66</v>
      </c>
      <c r="C63" s="8">
        <v>70.2</v>
      </c>
      <c r="D63" s="8">
        <v>80</v>
      </c>
      <c r="E63" s="8" t="s">
        <v>24</v>
      </c>
      <c r="F63" s="8">
        <v>146</v>
      </c>
      <c r="G63" s="8">
        <v>165</v>
      </c>
      <c r="H63" s="8" t="s">
        <v>13</v>
      </c>
      <c r="I63" s="8"/>
      <c r="J63" s="6"/>
      <c r="K63" s="6"/>
    </row>
    <row r="64" spans="1:11" x14ac:dyDescent="0.3">
      <c r="A64" s="8">
        <v>63</v>
      </c>
      <c r="B64" s="8" t="s">
        <v>23</v>
      </c>
      <c r="C64" s="8">
        <v>81.7</v>
      </c>
      <c r="D64" s="8">
        <v>74.8</v>
      </c>
      <c r="E64" s="8" t="s">
        <v>24</v>
      </c>
      <c r="F64" s="8">
        <v>248</v>
      </c>
      <c r="G64" s="8">
        <v>317</v>
      </c>
      <c r="H64" s="8" t="s">
        <v>12</v>
      </c>
      <c r="I64" s="12">
        <v>168000</v>
      </c>
      <c r="J64" s="6"/>
      <c r="K64" s="6"/>
    </row>
    <row r="65" spans="1:11" x14ac:dyDescent="0.3">
      <c r="A65" s="8">
        <v>64</v>
      </c>
      <c r="B65" s="8" t="s">
        <v>65</v>
      </c>
      <c r="C65" s="8">
        <v>76.099999999999994</v>
      </c>
      <c r="D65" s="8">
        <v>78.5</v>
      </c>
      <c r="E65" s="8" t="s">
        <v>24</v>
      </c>
      <c r="F65" s="8">
        <v>198</v>
      </c>
      <c r="G65" s="8">
        <v>250</v>
      </c>
      <c r="H65" s="8" t="s">
        <v>12</v>
      </c>
      <c r="I65" s="12">
        <v>96000</v>
      </c>
      <c r="J65" s="6"/>
      <c r="K65" s="6"/>
    </row>
    <row r="66" spans="1:11" x14ac:dyDescent="0.3">
      <c r="A66" s="8">
        <v>65</v>
      </c>
      <c r="B66" s="8" t="s">
        <v>64</v>
      </c>
      <c r="C66" s="8">
        <v>65.400000000000006</v>
      </c>
      <c r="D66" s="8">
        <v>71.8</v>
      </c>
      <c r="E66" s="8" t="s">
        <v>26</v>
      </c>
      <c r="F66" s="8">
        <v>210</v>
      </c>
      <c r="G66" s="8">
        <v>217</v>
      </c>
      <c r="H66" s="8" t="s">
        <v>13</v>
      </c>
      <c r="I66" s="8"/>
      <c r="J66" s="6"/>
      <c r="K66" s="6"/>
    </row>
    <row r="67" spans="1:11" x14ac:dyDescent="0.3">
      <c r="A67" s="8">
        <v>66</v>
      </c>
      <c r="B67" s="8" t="s">
        <v>64</v>
      </c>
      <c r="C67" s="8">
        <v>70.099999999999994</v>
      </c>
      <c r="D67" s="8">
        <v>69.900000000000006</v>
      </c>
      <c r="E67" s="8" t="s">
        <v>26</v>
      </c>
      <c r="F67" s="8">
        <v>107</v>
      </c>
      <c r="G67" s="8">
        <v>138</v>
      </c>
      <c r="H67" s="8" t="s">
        <v>13</v>
      </c>
      <c r="I67" s="8"/>
      <c r="J67" s="6"/>
      <c r="K67" s="6"/>
    </row>
    <row r="68" spans="1:11" x14ac:dyDescent="0.3">
      <c r="A68" s="8">
        <v>67</v>
      </c>
      <c r="B68" s="8" t="s">
        <v>23</v>
      </c>
      <c r="C68" s="8">
        <v>75.3</v>
      </c>
      <c r="D68" s="8">
        <v>82.7</v>
      </c>
      <c r="E68" s="8" t="s">
        <v>26</v>
      </c>
      <c r="F68" s="8">
        <v>239</v>
      </c>
      <c r="G68" s="8">
        <v>302</v>
      </c>
      <c r="H68" s="8" t="s">
        <v>12</v>
      </c>
      <c r="I68" s="12">
        <v>80000</v>
      </c>
      <c r="J68" s="6"/>
      <c r="K68" s="6"/>
    </row>
    <row r="69" spans="1:11" x14ac:dyDescent="0.3">
      <c r="A69" s="8">
        <v>68</v>
      </c>
      <c r="B69" s="8" t="s">
        <v>65</v>
      </c>
      <c r="C69" s="8">
        <v>68.7</v>
      </c>
      <c r="D69" s="8">
        <v>74</v>
      </c>
      <c r="E69" s="8" t="s">
        <v>24</v>
      </c>
      <c r="F69" s="8">
        <v>287</v>
      </c>
      <c r="G69" s="8">
        <v>311</v>
      </c>
      <c r="H69" s="8" t="s">
        <v>13</v>
      </c>
      <c r="I69" s="8"/>
      <c r="J69" s="6"/>
      <c r="K69" s="6"/>
    </row>
    <row r="70" spans="1:11" x14ac:dyDescent="0.3">
      <c r="A70" s="8">
        <v>69</v>
      </c>
      <c r="B70" s="8" t="s">
        <v>23</v>
      </c>
      <c r="C70" s="8">
        <v>75.7</v>
      </c>
      <c r="D70" s="8">
        <v>84</v>
      </c>
      <c r="E70" s="8" t="s">
        <v>26</v>
      </c>
      <c r="F70" s="8">
        <v>340</v>
      </c>
      <c r="G70" s="8">
        <v>373</v>
      </c>
      <c r="H70" s="8" t="s">
        <v>12</v>
      </c>
      <c r="I70" s="12">
        <v>124500</v>
      </c>
      <c r="J70" s="6"/>
      <c r="K70" s="6"/>
    </row>
    <row r="71" spans="1:11" x14ac:dyDescent="0.3">
      <c r="A71" s="8">
        <v>70</v>
      </c>
      <c r="B71" s="8" t="s">
        <v>65</v>
      </c>
      <c r="C71" s="8">
        <v>68.7</v>
      </c>
      <c r="D71" s="8">
        <v>84.7</v>
      </c>
      <c r="E71" s="8" t="s">
        <v>24</v>
      </c>
      <c r="F71" s="8">
        <v>155</v>
      </c>
      <c r="G71" s="8">
        <v>196</v>
      </c>
      <c r="H71" s="8" t="s">
        <v>13</v>
      </c>
      <c r="I71" s="8"/>
      <c r="J71" s="6"/>
      <c r="K71" s="6"/>
    </row>
    <row r="72" spans="1:11" x14ac:dyDescent="0.3">
      <c r="A72" s="8">
        <v>71</v>
      </c>
      <c r="B72" s="8" t="s">
        <v>64</v>
      </c>
      <c r="C72" s="8">
        <v>70.400000000000006</v>
      </c>
      <c r="D72" s="8">
        <v>78.2</v>
      </c>
      <c r="E72" s="8" t="s">
        <v>26</v>
      </c>
      <c r="F72" s="8">
        <v>263</v>
      </c>
      <c r="G72" s="8">
        <v>306</v>
      </c>
      <c r="H72" s="8" t="s">
        <v>12</v>
      </c>
      <c r="I72" s="12">
        <v>99000</v>
      </c>
      <c r="J72" s="6"/>
      <c r="K72" s="6"/>
    </row>
    <row r="73" spans="1:11" x14ac:dyDescent="0.3">
      <c r="A73" s="8">
        <v>72</v>
      </c>
      <c r="B73" s="8" t="s">
        <v>64</v>
      </c>
      <c r="C73" s="8">
        <v>68.3</v>
      </c>
      <c r="D73" s="8">
        <v>85</v>
      </c>
      <c r="E73" s="8" t="s">
        <v>26</v>
      </c>
      <c r="F73" s="8">
        <v>265</v>
      </c>
      <c r="G73" s="8">
        <v>302</v>
      </c>
      <c r="H73" s="8" t="s">
        <v>13</v>
      </c>
      <c r="I73" s="8"/>
      <c r="J73" s="6"/>
      <c r="K73" s="6"/>
    </row>
    <row r="74" spans="1:11" x14ac:dyDescent="0.3">
      <c r="A74" s="8">
        <v>73</v>
      </c>
      <c r="B74" s="8" t="s">
        <v>23</v>
      </c>
      <c r="C74" s="8">
        <v>71.7</v>
      </c>
      <c r="D74" s="8">
        <v>80.099999999999994</v>
      </c>
      <c r="E74" s="8" t="s">
        <v>24</v>
      </c>
      <c r="F74" s="8">
        <v>249</v>
      </c>
      <c r="G74" s="8">
        <v>278</v>
      </c>
      <c r="H74" s="8" t="s">
        <v>13</v>
      </c>
      <c r="I74" s="8"/>
      <c r="J74" s="6"/>
      <c r="K74" s="6"/>
    </row>
    <row r="75" spans="1:11" x14ac:dyDescent="0.3">
      <c r="A75" s="8">
        <v>74</v>
      </c>
      <c r="B75" s="8" t="s">
        <v>65</v>
      </c>
      <c r="C75" s="8">
        <v>70.900000000000006</v>
      </c>
      <c r="D75" s="8">
        <v>85.3</v>
      </c>
      <c r="E75" s="8" t="s">
        <v>24</v>
      </c>
      <c r="F75" s="8">
        <v>377</v>
      </c>
      <c r="G75" s="8">
        <v>429</v>
      </c>
      <c r="H75" s="8" t="s">
        <v>13</v>
      </c>
      <c r="I75" s="8"/>
      <c r="J75" s="6"/>
      <c r="K75" s="6"/>
    </row>
    <row r="76" spans="1:11" x14ac:dyDescent="0.3">
      <c r="A76" s="8">
        <v>75</v>
      </c>
      <c r="B76" s="8" t="s">
        <v>64</v>
      </c>
      <c r="C76" s="8">
        <v>66.3</v>
      </c>
      <c r="D76" s="8">
        <v>79.7</v>
      </c>
      <c r="E76" s="8" t="s">
        <v>24</v>
      </c>
      <c r="F76" s="8">
        <v>301</v>
      </c>
      <c r="G76" s="8">
        <v>338</v>
      </c>
      <c r="H76" s="8" t="s">
        <v>12</v>
      </c>
      <c r="I76" s="12">
        <v>124000</v>
      </c>
      <c r="J76" s="6"/>
      <c r="K76" s="6"/>
    </row>
    <row r="77" spans="1:11" x14ac:dyDescent="0.3">
      <c r="A77" s="8">
        <v>76</v>
      </c>
      <c r="B77" s="8" t="s">
        <v>23</v>
      </c>
      <c r="C77" s="8">
        <v>65.3</v>
      </c>
      <c r="D77" s="8">
        <v>79.599999999999994</v>
      </c>
      <c r="E77" s="8" t="s">
        <v>24</v>
      </c>
      <c r="F77" s="8">
        <v>242</v>
      </c>
      <c r="G77" s="8">
        <v>261</v>
      </c>
      <c r="H77" s="8" t="s">
        <v>13</v>
      </c>
      <c r="I77" s="8"/>
      <c r="J77" s="6"/>
      <c r="K77" s="6"/>
    </row>
    <row r="78" spans="1:11" x14ac:dyDescent="0.3">
      <c r="A78" s="8">
        <v>77</v>
      </c>
      <c r="B78" s="8" t="s">
        <v>23</v>
      </c>
      <c r="C78" s="8">
        <v>75.7</v>
      </c>
      <c r="D78" s="8">
        <v>78.900000000000006</v>
      </c>
      <c r="E78" s="8" t="s">
        <v>24</v>
      </c>
      <c r="F78" s="8">
        <v>211</v>
      </c>
      <c r="G78" s="8">
        <v>256</v>
      </c>
      <c r="H78" s="8" t="s">
        <v>13</v>
      </c>
      <c r="I78" s="8"/>
      <c r="J78" s="6"/>
      <c r="K78" s="6"/>
    </row>
    <row r="79" spans="1:11" x14ac:dyDescent="0.3">
      <c r="A79" s="8">
        <v>78</v>
      </c>
      <c r="B79" s="8" t="s">
        <v>66</v>
      </c>
      <c r="C79" s="8">
        <v>66</v>
      </c>
      <c r="D79" s="8">
        <v>78.5</v>
      </c>
      <c r="E79" s="8" t="s">
        <v>24</v>
      </c>
      <c r="F79" s="8">
        <v>160</v>
      </c>
      <c r="G79" s="8">
        <v>183</v>
      </c>
      <c r="H79" s="8" t="s">
        <v>12</v>
      </c>
      <c r="I79" s="12">
        <v>91500</v>
      </c>
      <c r="J79" s="6"/>
      <c r="K79" s="6"/>
    </row>
    <row r="80" spans="1:11" x14ac:dyDescent="0.3">
      <c r="A80" s="8">
        <v>79</v>
      </c>
      <c r="B80" s="8" t="s">
        <v>23</v>
      </c>
      <c r="C80" s="8">
        <v>78.900000000000006</v>
      </c>
      <c r="D80" s="8">
        <v>72</v>
      </c>
      <c r="E80" s="8" t="s">
        <v>24</v>
      </c>
      <c r="F80" s="8">
        <v>218</v>
      </c>
      <c r="G80" s="8">
        <v>274</v>
      </c>
      <c r="H80" s="8" t="s">
        <v>12</v>
      </c>
      <c r="I80" s="12">
        <v>144500</v>
      </c>
      <c r="J80" s="6"/>
      <c r="K80" s="6"/>
    </row>
    <row r="81" spans="1:11" x14ac:dyDescent="0.3">
      <c r="A81" s="8">
        <v>80</v>
      </c>
      <c r="B81" s="8" t="s">
        <v>23</v>
      </c>
      <c r="C81" s="8">
        <v>74</v>
      </c>
      <c r="D81" s="8">
        <v>74.2</v>
      </c>
      <c r="E81" s="8" t="s">
        <v>24</v>
      </c>
      <c r="F81" s="8">
        <v>133</v>
      </c>
      <c r="G81" s="8">
        <v>182</v>
      </c>
      <c r="H81" s="8" t="s">
        <v>13</v>
      </c>
      <c r="I81" s="8"/>
      <c r="J81" s="6"/>
      <c r="K81" s="6"/>
    </row>
    <row r="82" spans="1:11" x14ac:dyDescent="0.3">
      <c r="A82" s="8">
        <v>81</v>
      </c>
      <c r="B82" s="8" t="s">
        <v>23</v>
      </c>
      <c r="C82" s="8">
        <v>74.599999999999994</v>
      </c>
      <c r="D82" s="8">
        <v>71.7</v>
      </c>
      <c r="E82" s="8" t="s">
        <v>24</v>
      </c>
      <c r="F82" s="8">
        <v>122</v>
      </c>
      <c r="G82" s="8">
        <v>183</v>
      </c>
      <c r="H82" s="8" t="s">
        <v>13</v>
      </c>
      <c r="I82" s="8"/>
      <c r="J82" s="6"/>
      <c r="K82" s="6"/>
    </row>
    <row r="83" spans="1:11" x14ac:dyDescent="0.3">
      <c r="A83" s="8">
        <v>82</v>
      </c>
      <c r="B83" s="8" t="s">
        <v>64</v>
      </c>
      <c r="C83" s="8">
        <v>79.3</v>
      </c>
      <c r="D83" s="8">
        <v>80.7</v>
      </c>
      <c r="E83" s="8" t="s">
        <v>24</v>
      </c>
      <c r="F83" s="8">
        <v>236</v>
      </c>
      <c r="G83" s="8">
        <v>309</v>
      </c>
      <c r="H83" s="8" t="s">
        <v>12</v>
      </c>
      <c r="I83" s="12">
        <v>114500</v>
      </c>
      <c r="J83" s="6"/>
      <c r="K83" s="6"/>
    </row>
    <row r="84" spans="1:11" x14ac:dyDescent="0.3">
      <c r="A84" s="8">
        <v>83</v>
      </c>
      <c r="B84" s="8" t="s">
        <v>64</v>
      </c>
      <c r="C84" s="8">
        <v>70.099999999999994</v>
      </c>
      <c r="D84" s="8">
        <v>84.1</v>
      </c>
      <c r="E84" s="8" t="s">
        <v>24</v>
      </c>
      <c r="F84" s="8">
        <v>143</v>
      </c>
      <c r="G84" s="8">
        <v>178</v>
      </c>
      <c r="H84" s="8" t="s">
        <v>13</v>
      </c>
      <c r="I84" s="8"/>
      <c r="J84" s="6"/>
      <c r="K84" s="6"/>
    </row>
    <row r="85" spans="1:11" x14ac:dyDescent="0.3">
      <c r="A85" s="8">
        <v>84</v>
      </c>
      <c r="B85" s="8" t="s">
        <v>23</v>
      </c>
      <c r="C85" s="8">
        <v>88.8</v>
      </c>
      <c r="D85" s="8">
        <v>87.4</v>
      </c>
      <c r="E85" s="8" t="s">
        <v>24</v>
      </c>
      <c r="F85" s="8">
        <v>354</v>
      </c>
      <c r="G85" s="8">
        <v>458</v>
      </c>
      <c r="H85" s="8" t="s">
        <v>12</v>
      </c>
      <c r="I85" s="12">
        <v>104500</v>
      </c>
      <c r="J85" s="6"/>
      <c r="K85" s="6"/>
    </row>
    <row r="86" spans="1:11" x14ac:dyDescent="0.3">
      <c r="A86" s="8">
        <v>85</v>
      </c>
      <c r="B86" s="8" t="s">
        <v>23</v>
      </c>
      <c r="C86" s="8">
        <v>66</v>
      </c>
      <c r="D86" s="8">
        <v>77.400000000000006</v>
      </c>
      <c r="E86" s="8" t="s">
        <v>26</v>
      </c>
      <c r="F86" s="8">
        <v>214</v>
      </c>
      <c r="G86" s="8">
        <v>234</v>
      </c>
      <c r="H86" s="8" t="s">
        <v>12</v>
      </c>
      <c r="I86" s="12">
        <v>124000</v>
      </c>
      <c r="J86" s="6"/>
      <c r="K86" s="6"/>
    </row>
    <row r="87" spans="1:11" x14ac:dyDescent="0.3">
      <c r="A87" s="8">
        <v>86</v>
      </c>
      <c r="B87" s="8" t="s">
        <v>67</v>
      </c>
      <c r="C87" s="8">
        <v>82.9</v>
      </c>
      <c r="D87" s="8">
        <v>84.7</v>
      </c>
      <c r="E87" s="8" t="s">
        <v>26</v>
      </c>
      <c r="F87" s="8">
        <v>225</v>
      </c>
      <c r="G87" s="8">
        <v>306</v>
      </c>
      <c r="H87" s="8" t="s">
        <v>12</v>
      </c>
      <c r="I87" s="12">
        <v>113000</v>
      </c>
      <c r="J87" s="6"/>
      <c r="K87" s="6"/>
    </row>
    <row r="88" spans="1:11" x14ac:dyDescent="0.3">
      <c r="A88" s="8">
        <v>87</v>
      </c>
      <c r="B88" s="8" t="s">
        <v>23</v>
      </c>
      <c r="C88" s="8">
        <v>100</v>
      </c>
      <c r="D88" s="8">
        <v>78.8</v>
      </c>
      <c r="E88" s="8" t="s">
        <v>24</v>
      </c>
      <c r="F88" s="8">
        <v>261</v>
      </c>
      <c r="G88" s="8">
        <v>400</v>
      </c>
      <c r="H88" s="8" t="s">
        <v>12</v>
      </c>
      <c r="I88" s="12">
        <v>78000</v>
      </c>
      <c r="J88" s="6"/>
      <c r="K88" s="6"/>
    </row>
    <row r="89" spans="1:11" x14ac:dyDescent="0.3">
      <c r="A89" s="8">
        <v>88</v>
      </c>
      <c r="B89" s="8" t="s">
        <v>23</v>
      </c>
      <c r="C89" s="8">
        <v>75.599999999999994</v>
      </c>
      <c r="D89" s="8">
        <v>92.7</v>
      </c>
      <c r="E89" s="8" t="s">
        <v>24</v>
      </c>
      <c r="F89" s="8">
        <v>277</v>
      </c>
      <c r="G89" s="8">
        <v>337</v>
      </c>
      <c r="H89" s="8" t="s">
        <v>13</v>
      </c>
      <c r="I89" s="8"/>
      <c r="J89" s="6"/>
      <c r="K89" s="6"/>
    </row>
    <row r="90" spans="1:11" x14ac:dyDescent="0.3">
      <c r="A90" s="8">
        <v>89</v>
      </c>
      <c r="B90" s="8" t="s">
        <v>66</v>
      </c>
      <c r="C90" s="8">
        <v>67.5</v>
      </c>
      <c r="D90" s="8">
        <v>88.8</v>
      </c>
      <c r="E90" s="8" t="s">
        <v>24</v>
      </c>
      <c r="F90" s="8">
        <v>282</v>
      </c>
      <c r="G90" s="8">
        <v>325</v>
      </c>
      <c r="H90" s="8" t="s">
        <v>12</v>
      </c>
      <c r="I90" s="12">
        <v>109000</v>
      </c>
      <c r="J90" s="6"/>
      <c r="K90" s="6"/>
    </row>
    <row r="91" spans="1:11" x14ac:dyDescent="0.3">
      <c r="A91" s="8">
        <v>90</v>
      </c>
      <c r="B91" s="8" t="s">
        <v>65</v>
      </c>
      <c r="C91" s="8">
        <v>68.7</v>
      </c>
      <c r="D91" s="8">
        <v>86.6</v>
      </c>
      <c r="E91" s="8" t="s">
        <v>24</v>
      </c>
      <c r="F91" s="8">
        <v>322</v>
      </c>
      <c r="G91" s="8">
        <v>329</v>
      </c>
      <c r="H91" s="8" t="s">
        <v>13</v>
      </c>
      <c r="I91" s="8"/>
      <c r="J91" s="6"/>
      <c r="K91" s="6"/>
    </row>
    <row r="92" spans="1:11" x14ac:dyDescent="0.3">
      <c r="A92" s="8">
        <v>91</v>
      </c>
      <c r="B92" s="8" t="s">
        <v>23</v>
      </c>
      <c r="C92" s="8">
        <v>76</v>
      </c>
      <c r="D92" s="8">
        <v>77.900000000000006</v>
      </c>
      <c r="E92" s="8" t="s">
        <v>24</v>
      </c>
      <c r="F92" s="8">
        <v>326</v>
      </c>
      <c r="G92" s="8">
        <v>369</v>
      </c>
      <c r="H92" s="8" t="s">
        <v>12</v>
      </c>
      <c r="I92" s="12">
        <v>99500</v>
      </c>
      <c r="J92" s="6"/>
      <c r="K92" s="6"/>
    </row>
    <row r="93" spans="1:11" x14ac:dyDescent="0.3">
      <c r="A93" s="8">
        <v>92</v>
      </c>
      <c r="B93" s="8" t="s">
        <v>65</v>
      </c>
      <c r="C93" s="8">
        <v>67.7</v>
      </c>
      <c r="D93" s="8">
        <v>86.1</v>
      </c>
      <c r="E93" s="8" t="s">
        <v>24</v>
      </c>
      <c r="F93" s="8">
        <v>421</v>
      </c>
      <c r="G93" s="8">
        <v>457</v>
      </c>
      <c r="H93" s="8" t="s">
        <v>12</v>
      </c>
      <c r="I93" s="12">
        <v>107000</v>
      </c>
      <c r="J93" s="6"/>
      <c r="K93" s="6"/>
    </row>
    <row r="94" spans="1:11" x14ac:dyDescent="0.3">
      <c r="A94" s="8">
        <v>93</v>
      </c>
      <c r="B94" s="8" t="s">
        <v>64</v>
      </c>
      <c r="C94" s="8">
        <v>75.3</v>
      </c>
      <c r="D94" s="8">
        <v>89.9</v>
      </c>
      <c r="E94" s="8" t="s">
        <v>24</v>
      </c>
      <c r="F94" s="8">
        <v>368</v>
      </c>
      <c r="G94" s="8">
        <v>421</v>
      </c>
      <c r="H94" s="8" t="s">
        <v>13</v>
      </c>
      <c r="I94" s="8"/>
      <c r="J94" s="6"/>
      <c r="K94" s="6"/>
    </row>
    <row r="95" spans="1:11" x14ac:dyDescent="0.3">
      <c r="A95" s="8">
        <v>94</v>
      </c>
      <c r="B95" s="8" t="s">
        <v>64</v>
      </c>
      <c r="C95" s="8">
        <v>68.099999999999994</v>
      </c>
      <c r="D95" s="8">
        <v>83.1</v>
      </c>
      <c r="E95" s="8" t="s">
        <v>24</v>
      </c>
      <c r="F95" s="8">
        <v>279</v>
      </c>
      <c r="G95" s="8">
        <v>282</v>
      </c>
      <c r="H95" s="8" t="s">
        <v>12</v>
      </c>
      <c r="I95" s="12">
        <v>84000</v>
      </c>
      <c r="J95" s="6"/>
      <c r="K95" s="6"/>
    </row>
    <row r="96" spans="1:11" x14ac:dyDescent="0.3">
      <c r="A96" s="8">
        <v>95</v>
      </c>
      <c r="B96" s="8" t="s">
        <v>66</v>
      </c>
      <c r="C96" s="8">
        <v>63.3</v>
      </c>
      <c r="D96" s="8">
        <v>82.6</v>
      </c>
      <c r="E96" s="8" t="s">
        <v>24</v>
      </c>
      <c r="F96" s="8">
        <v>268</v>
      </c>
      <c r="G96" s="8">
        <v>256</v>
      </c>
      <c r="H96" s="8" t="s">
        <v>13</v>
      </c>
      <c r="I96" s="8"/>
      <c r="J96" s="6"/>
      <c r="K96"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EF65-B149-4CFB-B5D2-BB6B32A5CD91}">
  <sheetPr codeName="Sheet2">
    <tabColor theme="3"/>
  </sheetPr>
  <dimension ref="B1:O16"/>
  <sheetViews>
    <sheetView showGridLines="0" tabSelected="1" topLeftCell="H1" workbookViewId="0">
      <selection activeCell="N14" sqref="N14"/>
    </sheetView>
  </sheetViews>
  <sheetFormatPr defaultRowHeight="14.4" x14ac:dyDescent="0.3"/>
  <cols>
    <col min="1" max="1" width="3" customWidth="1"/>
    <col min="2" max="2" width="38.5546875" customWidth="1"/>
    <col min="3" max="3" width="12.109375" customWidth="1"/>
    <col min="4" max="4" width="3" customWidth="1"/>
    <col min="5" max="5" width="41.44140625" customWidth="1"/>
    <col min="6" max="6" width="12.109375" customWidth="1"/>
    <col min="7" max="7" width="3" customWidth="1"/>
    <col min="8" max="8" width="55.88671875" bestFit="1" customWidth="1"/>
    <col min="9" max="9" width="12.109375" customWidth="1"/>
    <col min="10" max="10" width="3" customWidth="1"/>
    <col min="11" max="11" width="52.33203125" bestFit="1" customWidth="1"/>
    <col min="12" max="12" width="12.109375" customWidth="1"/>
    <col min="13" max="13" width="3" customWidth="1"/>
    <col min="14" max="14" width="44.33203125" customWidth="1"/>
    <col min="15" max="15" width="12.109375" customWidth="1"/>
  </cols>
  <sheetData>
    <row r="1" spans="2:15" ht="15" thickBot="1" x14ac:dyDescent="0.35"/>
    <row r="2" spans="2:15" ht="30" customHeight="1" thickBot="1" x14ac:dyDescent="0.35">
      <c r="B2" s="103" t="s">
        <v>0</v>
      </c>
      <c r="C2" s="103"/>
      <c r="E2" s="104" t="s">
        <v>18</v>
      </c>
      <c r="F2" s="104"/>
      <c r="H2" s="105" t="s">
        <v>127</v>
      </c>
      <c r="I2" s="105"/>
      <c r="K2" s="106" t="s">
        <v>175</v>
      </c>
      <c r="L2" s="106"/>
      <c r="N2" s="107" t="s">
        <v>201</v>
      </c>
      <c r="O2" s="107"/>
    </row>
    <row r="3" spans="2:15" ht="15" thickBot="1" x14ac:dyDescent="0.35">
      <c r="B3" s="2"/>
      <c r="C3" s="2"/>
      <c r="E3" s="2"/>
      <c r="F3" s="2"/>
      <c r="H3" s="2"/>
      <c r="I3" s="2"/>
      <c r="K3" s="2"/>
      <c r="L3" s="2"/>
      <c r="N3" s="2"/>
      <c r="O3" s="2"/>
    </row>
    <row r="4" spans="2:15" ht="22.5" customHeight="1" thickBot="1" x14ac:dyDescent="0.35">
      <c r="B4" s="5" t="s">
        <v>1</v>
      </c>
      <c r="C4" s="4" t="s">
        <v>10</v>
      </c>
      <c r="E4" s="21" t="s">
        <v>76</v>
      </c>
      <c r="F4" s="22" t="s">
        <v>10</v>
      </c>
      <c r="H4" s="30" t="s">
        <v>142</v>
      </c>
      <c r="I4" s="31" t="s">
        <v>10</v>
      </c>
      <c r="K4" s="42"/>
      <c r="L4" s="43"/>
      <c r="N4" s="49" t="s">
        <v>203</v>
      </c>
      <c r="O4" s="50" t="s">
        <v>10</v>
      </c>
    </row>
    <row r="5" spans="2:15" ht="22.5" customHeight="1" thickBot="1" x14ac:dyDescent="0.35">
      <c r="B5" s="5" t="s">
        <v>2</v>
      </c>
      <c r="C5" s="4" t="s">
        <v>10</v>
      </c>
      <c r="E5" s="21" t="s">
        <v>74</v>
      </c>
      <c r="F5" s="22" t="s">
        <v>10</v>
      </c>
      <c r="H5" s="100" t="s">
        <v>306</v>
      </c>
      <c r="I5" s="29" t="s">
        <v>10</v>
      </c>
      <c r="K5" s="42"/>
      <c r="L5" s="43"/>
      <c r="N5" s="49" t="s">
        <v>204</v>
      </c>
      <c r="O5" s="50" t="s">
        <v>10</v>
      </c>
    </row>
    <row r="6" spans="2:15" ht="22.5" customHeight="1" thickBot="1" x14ac:dyDescent="0.35">
      <c r="B6" s="5" t="s">
        <v>3</v>
      </c>
      <c r="C6" s="4" t="s">
        <v>10</v>
      </c>
      <c r="E6" s="21" t="s">
        <v>75</v>
      </c>
      <c r="F6" s="22" t="s">
        <v>10</v>
      </c>
      <c r="H6" s="30" t="s">
        <v>143</v>
      </c>
      <c r="I6" s="31" t="s">
        <v>10</v>
      </c>
      <c r="K6" s="42"/>
      <c r="L6" s="43"/>
      <c r="N6" s="98" t="s">
        <v>208</v>
      </c>
      <c r="O6" s="51" t="s">
        <v>10</v>
      </c>
    </row>
    <row r="7" spans="2:15" ht="22.5" customHeight="1" thickBot="1" x14ac:dyDescent="0.35">
      <c r="B7" s="102" t="s">
        <v>252</v>
      </c>
      <c r="C7" s="15" t="s">
        <v>10</v>
      </c>
      <c r="E7" s="101" t="s">
        <v>257</v>
      </c>
      <c r="F7" s="23" t="s">
        <v>10</v>
      </c>
      <c r="H7" s="100" t="s">
        <v>307</v>
      </c>
      <c r="I7" s="29" t="s">
        <v>10</v>
      </c>
      <c r="K7" s="42"/>
      <c r="L7" s="43"/>
      <c r="N7" s="49"/>
      <c r="O7" s="50"/>
    </row>
    <row r="8" spans="2:15" ht="22.5" customHeight="1" thickBot="1" x14ac:dyDescent="0.35">
      <c r="B8" s="5" t="s">
        <v>4</v>
      </c>
      <c r="C8" s="4" t="s">
        <v>10</v>
      </c>
      <c r="E8" s="21" t="s">
        <v>92</v>
      </c>
      <c r="F8" s="22" t="s">
        <v>10</v>
      </c>
      <c r="H8" s="30" t="s">
        <v>145</v>
      </c>
      <c r="I8" s="31" t="s">
        <v>10</v>
      </c>
      <c r="K8" s="42" t="s">
        <v>176</v>
      </c>
      <c r="L8" s="43" t="s">
        <v>10</v>
      </c>
      <c r="N8" s="49"/>
      <c r="O8" s="50"/>
    </row>
    <row r="9" spans="2:15" ht="22.5" customHeight="1" thickBot="1" x14ac:dyDescent="0.35">
      <c r="B9" s="5" t="s">
        <v>5</v>
      </c>
      <c r="C9" s="4" t="s">
        <v>10</v>
      </c>
      <c r="E9" s="21" t="s">
        <v>96</v>
      </c>
      <c r="F9" s="22" t="s">
        <v>10</v>
      </c>
      <c r="H9" s="100" t="s">
        <v>308</v>
      </c>
      <c r="I9" s="29" t="s">
        <v>10</v>
      </c>
      <c r="K9" s="99" t="s">
        <v>311</v>
      </c>
      <c r="L9" s="41" t="s">
        <v>10</v>
      </c>
      <c r="N9" s="98" t="s">
        <v>220</v>
      </c>
      <c r="O9" s="51" t="s">
        <v>10</v>
      </c>
    </row>
    <row r="10" spans="2:15" ht="22.5" customHeight="1" thickBot="1" x14ac:dyDescent="0.35">
      <c r="B10" s="102" t="s">
        <v>302</v>
      </c>
      <c r="C10" s="15" t="s">
        <v>10</v>
      </c>
      <c r="E10" s="101" t="s">
        <v>304</v>
      </c>
      <c r="F10" s="23" t="s">
        <v>10</v>
      </c>
      <c r="H10" s="30" t="s">
        <v>154</v>
      </c>
      <c r="I10" s="31" t="s">
        <v>10</v>
      </c>
      <c r="K10" s="44" t="s">
        <v>190</v>
      </c>
      <c r="L10" s="43" t="s">
        <v>10</v>
      </c>
      <c r="N10" s="49" t="s">
        <v>229</v>
      </c>
      <c r="O10" s="50" t="s">
        <v>10</v>
      </c>
    </row>
    <row r="11" spans="2:15" ht="22.5" customHeight="1" thickBot="1" x14ac:dyDescent="0.35">
      <c r="B11" s="5" t="s">
        <v>6</v>
      </c>
      <c r="C11" s="4" t="s">
        <v>10</v>
      </c>
      <c r="E11" s="21" t="s">
        <v>89</v>
      </c>
      <c r="F11" s="22" t="s">
        <v>10</v>
      </c>
      <c r="H11" s="100" t="s">
        <v>309</v>
      </c>
      <c r="I11" s="29" t="s">
        <v>10</v>
      </c>
      <c r="K11" s="99" t="s">
        <v>312</v>
      </c>
      <c r="L11" s="41" t="s">
        <v>10</v>
      </c>
      <c r="N11" s="49" t="s">
        <v>230</v>
      </c>
      <c r="O11" s="50" t="s">
        <v>10</v>
      </c>
    </row>
    <row r="12" spans="2:15" ht="22.5" customHeight="1" thickBot="1" x14ac:dyDescent="0.35">
      <c r="B12" s="5" t="s">
        <v>7</v>
      </c>
      <c r="C12" s="4" t="s">
        <v>10</v>
      </c>
      <c r="E12" s="21" t="s">
        <v>99</v>
      </c>
      <c r="F12" s="22" t="s">
        <v>10</v>
      </c>
      <c r="H12" s="30" t="s">
        <v>155</v>
      </c>
      <c r="I12" s="31" t="s">
        <v>10</v>
      </c>
      <c r="K12" s="99" t="s">
        <v>313</v>
      </c>
      <c r="L12" s="41" t="s">
        <v>10</v>
      </c>
      <c r="N12" s="49"/>
      <c r="O12" s="50"/>
    </row>
    <row r="13" spans="2:15" ht="22.5" customHeight="1" thickBot="1" x14ac:dyDescent="0.35">
      <c r="B13" s="5" t="s">
        <v>8</v>
      </c>
      <c r="C13" s="4" t="s">
        <v>10</v>
      </c>
      <c r="E13" s="21" t="s">
        <v>100</v>
      </c>
      <c r="F13" s="22" t="s">
        <v>10</v>
      </c>
      <c r="H13" s="100" t="s">
        <v>310</v>
      </c>
      <c r="I13" s="29" t="s">
        <v>10</v>
      </c>
      <c r="K13" s="99" t="s">
        <v>314</v>
      </c>
      <c r="L13" s="41" t="s">
        <v>10</v>
      </c>
      <c r="N13" s="49" t="s">
        <v>231</v>
      </c>
      <c r="O13" s="50" t="s">
        <v>10</v>
      </c>
    </row>
    <row r="14" spans="2:15" ht="22.5" customHeight="1" thickBot="1" x14ac:dyDescent="0.35">
      <c r="B14" s="5" t="s">
        <v>9</v>
      </c>
      <c r="C14" s="4" t="s">
        <v>10</v>
      </c>
      <c r="E14" s="101" t="s">
        <v>305</v>
      </c>
      <c r="F14" s="23" t="s">
        <v>10</v>
      </c>
      <c r="H14" s="30" t="s">
        <v>171</v>
      </c>
      <c r="I14" s="31" t="s">
        <v>10</v>
      </c>
      <c r="N14" s="98"/>
      <c r="O14" s="51"/>
    </row>
    <row r="15" spans="2:15" ht="22.5" customHeight="1" thickBot="1" x14ac:dyDescent="0.35">
      <c r="B15" s="5" t="s">
        <v>73</v>
      </c>
      <c r="C15" s="4" t="s">
        <v>10</v>
      </c>
      <c r="N15" s="49"/>
      <c r="O15" s="50"/>
    </row>
    <row r="16" spans="2:15" ht="22.5" customHeight="1" thickBot="1" x14ac:dyDescent="0.35">
      <c r="B16" s="102" t="s">
        <v>303</v>
      </c>
      <c r="C16" s="15" t="s">
        <v>10</v>
      </c>
      <c r="N16" s="49"/>
      <c r="O16" s="50"/>
    </row>
  </sheetData>
  <mergeCells count="5">
    <mergeCell ref="B2:C2"/>
    <mergeCell ref="E2:F2"/>
    <mergeCell ref="H2:I2"/>
    <mergeCell ref="K2:L2"/>
    <mergeCell ref="N2:O2"/>
  </mergeCells>
  <hyperlinks>
    <hyperlink ref="C4" location="'Categorical Distributions'!A1" display="LINK" xr:uid="{641D325D-9720-4898-9F56-CA3146675E89}"/>
    <hyperlink ref="C5" location="'Numerical Distributions'!A1" display="LINK" xr:uid="{A9169A3C-3F02-4255-9C1D-D176BA62EED5}"/>
    <hyperlink ref="C6" location="Histograms!A1" display="LINK" xr:uid="{A5431B60-2965-4F5B-B9D6-530F36AE1F6B}"/>
    <hyperlink ref="C7" location="'Frequency Distributions'!A1" display="LINK" xr:uid="{A6D2C845-F4F6-42FC-839E-01AB9B87F7EA}"/>
    <hyperlink ref="C8" location="'Mean, Median, Mode'!A1" display="LINK" xr:uid="{ABA0C063-C141-41EC-B9E9-0993AF9F15B4}"/>
    <hyperlink ref="C9" location="Skew!A1" display="LINK" xr:uid="{2B109DA9-BC59-4DE7-BCD0-CEA6602E72BB}"/>
    <hyperlink ref="C10" location="'Central Tendency'!A1" display="LINK" xr:uid="{DA7158E8-01E2-4F6B-A49C-3A7C922B22D8}"/>
    <hyperlink ref="C11" location="'Min, Max, Range'!A1" display="LINK" xr:uid="{ED67B226-868D-4985-952E-4F7A7BE61DCB}"/>
    <hyperlink ref="C12" location="'Quartiles &amp; IQR'!A1" display="LINK" xr:uid="{B9B182A9-C652-40DF-931C-36F3F1ACE8F9}"/>
    <hyperlink ref="C13" location="'Box &amp; Whisker'!A1" display="LINK" xr:uid="{B439E3C7-2D18-4422-847A-09FDFEF6E8EF}"/>
    <hyperlink ref="C14" location="'Variance &amp; Std Dev'!A1" display="LINK" xr:uid="{6434B156-173F-487F-934D-F2732DA2593A}"/>
    <hyperlink ref="C16" location="Variability!A1" display="LINK" xr:uid="{DB0A220C-09DF-4173-873B-75A59A204290}"/>
    <hyperlink ref="C15" location="'Coefficient of Variation'!A1" display="LINK" xr:uid="{094D10CA-DB5F-4515-A510-AC1B7EA6956A}"/>
    <hyperlink ref="F4" location="'Normal Distribution'!A1" display="LINK" xr:uid="{F9881F64-C4DF-4932-A909-4334AE807CD2}"/>
    <hyperlink ref="F5" location="'Z-Scores'!A1" display="LINK" xr:uid="{9CB111AC-C8C1-4E49-A9BD-9DD9BD802751}"/>
    <hyperlink ref="F6" location="'Empirical Rule'!A1" display="LINK" xr:uid="{5D9C1156-0A78-4EC7-8D1C-BC70153E43C0}"/>
    <hyperlink ref="F7" location="'Normal Distributions'!A1" display="LINK" xr:uid="{97EB438B-3A69-4AFE-B52A-A9B78FA2DB7A}"/>
    <hyperlink ref="F8" location="NORM.DIST!A1" display="LINK" xr:uid="{22E6C81D-F95C-4472-A850-FB11733DA877}"/>
    <hyperlink ref="F10" location="'Calculating Probabilities'!A1" display="LINK" xr:uid="{EE5D61BA-8B11-4B76-8B71-2A1907B3D75F}"/>
    <hyperlink ref="F9" location="NORM.S.DIST!A1" display="LINK" xr:uid="{624C7234-9EA7-4283-BCB7-85411EF590F6}"/>
    <hyperlink ref="F11" location="'Normal Curve'!A1" display="LINK" xr:uid="{73EA59C9-60EC-4325-A818-386288E0989A}"/>
    <hyperlink ref="F12" location="NORM.INV!A1" display="LINK" xr:uid="{0BE5F9CE-F7BB-4775-858A-7D0758A523B4}"/>
    <hyperlink ref="F13" location="NORM.S.INV!A1" display="LINK" xr:uid="{A4588EAC-7648-44CF-B7A5-C7CE32A643AB}"/>
    <hyperlink ref="F14" location="'Estimating Values'!A1" display="LINK" xr:uid="{102DD4D1-6581-4FFA-9F0B-AEB94BBEFC7B}"/>
    <hyperlink ref="I4" location="'Margin of Error'!A1" display="LINK" xr:uid="{1421087F-59A8-4299-B3EB-98CE864B015D}"/>
    <hyperlink ref="I5" location="'Confidence Intervals (z)'!A1" display="LINK" xr:uid="{18513267-59E9-436E-B296-7EF3ECF8204D}"/>
    <hyperlink ref="I6" location="'T Distribution'!A1" display="LINK" xr:uid="{ACF6FF79-0468-46C4-9784-5EEEF1ADA5C4}"/>
    <hyperlink ref="I7" location="'Confidence Intervals (t)'!A1" display="LINK" xr:uid="{53CDD1B2-F9B9-48B4-B677-C29EC0C60C62}"/>
    <hyperlink ref="I8" location="Proportions!A1" display="LINK" xr:uid="{6507B6F6-C3E2-4704-8A76-66208FDBC843}"/>
    <hyperlink ref="I9" location="'Confidence Intervals (p)'!A1" display="LINK" xr:uid="{6D70E516-A0A3-493A-96AD-732F528F9EA4}"/>
    <hyperlink ref="I10" location="'Dependent Samples'!A1" display="LINK" xr:uid="{8E20F2FE-2C50-438E-9DF2-C520C458C013}"/>
    <hyperlink ref="I11" location="'Confidence Intervals (d)'!A1" display="LINK" xr:uid="{CFDE4DBA-9DD5-44BE-824B-04E1E02502C2}"/>
    <hyperlink ref="I12" location="'Independent Samples'!A1" display="LINK" xr:uid="{3F398CA1-ED24-4632-96BB-57E7D9027AF2}"/>
    <hyperlink ref="I13" location="'Confidence Intervals (x1-x2)'!A1" display="LINK" xr:uid="{117A8434-E5EF-43D8-8FE6-101CC1CD9A6E}"/>
    <hyperlink ref="I14" location="'Confidence Intervals (p1-p2)'!A1" display="LINK" xr:uid="{B7A2CE7D-CB2A-487F-B906-3180FF6699C8}"/>
    <hyperlink ref="L9" location="'Hypothesis Tests (Two Tail)'!A1" display="LINK" xr:uid="{B5CFD56B-D362-4BDA-A9C4-306FFCDD47B3}"/>
    <hyperlink ref="L10" location="'One Tail Hypothesis Test'!A1" display="LINK" xr:uid="{B2EC79D1-49CA-4DC6-82E5-80EDAD380411}"/>
    <hyperlink ref="L11" location="'Hypothesis Tests (p)'!A1" display="LINK" xr:uid="{53A5A0B0-56A5-4E1A-849D-8CB1BF46A562}"/>
    <hyperlink ref="L12" location="'Hypothesis Tests (d)'!A1" display="LINK" xr:uid="{90B54B45-1FCB-4096-B18D-2709AEB35F3E}"/>
    <hyperlink ref="L13" location="'Hypothesis Tests (x1-x2)'!A1" display="LINK" xr:uid="{36AD47B7-F7DB-4B77-8F58-7345935CBB9E}"/>
    <hyperlink ref="O4" location="Scatterplots!A1" display="LINK" xr:uid="{1C6A581A-65DF-4A80-A68C-3AB6ADDCB500}"/>
    <hyperlink ref="O5" location="Correlation!A1" display="LINK" xr:uid="{89647492-B35F-4492-A40A-1B242E0602C4}"/>
    <hyperlink ref="O6" location="'Linear Relationships'!A1" display="LINK" xr:uid="{4CF4109D-ECC3-44AA-AC58-2B6B804C79D3}"/>
    <hyperlink ref="O9" location="'Linear Regression Model'!A1" display="LINK" xr:uid="{9E701891-E56C-4F35-AC87-4701DCBB6BC1}"/>
    <hyperlink ref="O10" location="'R-Squared'!A1" display="LINK" xr:uid="{03A51012-B7E3-4E14-9D12-17E4E0132211}"/>
    <hyperlink ref="O11" location="'Standard Error'!A1" display="LINK" xr:uid="{B70293C4-C711-4838-B535-2FC470A31B6B}"/>
    <hyperlink ref="O13" location="'Hypothesis Test'!A1" display="LINK" xr:uid="{4E1F38EB-5445-4B0C-A10C-7CCDA7F3B139}"/>
    <hyperlink ref="L8" location="Conclusion!A1" display="LINK" xr:uid="{96BDB7AB-D34E-4C8D-BBB2-1C425428A6BA}"/>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E577A-B0D4-4743-B568-01B6587A41AC}">
  <dimension ref="A1:A98"/>
  <sheetViews>
    <sheetView workbookViewId="0">
      <selection activeCell="A4" sqref="A4"/>
    </sheetView>
  </sheetViews>
  <sheetFormatPr defaultRowHeight="14.4" x14ac:dyDescent="0.3"/>
  <cols>
    <col min="1" max="1" width="9.88671875" bestFit="1" customWidth="1"/>
  </cols>
  <sheetData>
    <row r="1" spans="1:1" x14ac:dyDescent="0.3">
      <c r="A1" s="96" t="s">
        <v>284</v>
      </c>
    </row>
    <row r="3" spans="1:1" x14ac:dyDescent="0.3">
      <c r="A3" t="s">
        <v>11</v>
      </c>
    </row>
    <row r="4" spans="1:1" x14ac:dyDescent="0.3">
      <c r="A4" t="s">
        <v>13</v>
      </c>
    </row>
    <row r="5" spans="1:1" x14ac:dyDescent="0.3">
      <c r="A5" t="s">
        <v>13</v>
      </c>
    </row>
    <row r="6" spans="1:1" x14ac:dyDescent="0.3">
      <c r="A6" t="s">
        <v>13</v>
      </c>
    </row>
    <row r="7" spans="1:1" x14ac:dyDescent="0.3">
      <c r="A7" t="s">
        <v>13</v>
      </c>
    </row>
    <row r="8" spans="1:1" x14ac:dyDescent="0.3">
      <c r="A8" t="s">
        <v>13</v>
      </c>
    </row>
    <row r="9" spans="1:1" x14ac:dyDescent="0.3">
      <c r="A9" t="s">
        <v>13</v>
      </c>
    </row>
    <row r="10" spans="1:1" x14ac:dyDescent="0.3">
      <c r="A10" t="s">
        <v>13</v>
      </c>
    </row>
    <row r="11" spans="1:1" x14ac:dyDescent="0.3">
      <c r="A11" t="s">
        <v>13</v>
      </c>
    </row>
    <row r="12" spans="1:1" x14ac:dyDescent="0.3">
      <c r="A12" t="s">
        <v>13</v>
      </c>
    </row>
    <row r="13" spans="1:1" x14ac:dyDescent="0.3">
      <c r="A13" t="s">
        <v>13</v>
      </c>
    </row>
    <row r="14" spans="1:1" x14ac:dyDescent="0.3">
      <c r="A14" t="s">
        <v>13</v>
      </c>
    </row>
    <row r="15" spans="1:1" x14ac:dyDescent="0.3">
      <c r="A15" t="s">
        <v>13</v>
      </c>
    </row>
    <row r="16" spans="1:1" x14ac:dyDescent="0.3">
      <c r="A16" t="s">
        <v>13</v>
      </c>
    </row>
    <row r="17" spans="1:1" x14ac:dyDescent="0.3">
      <c r="A17" t="s">
        <v>13</v>
      </c>
    </row>
    <row r="18" spans="1:1" x14ac:dyDescent="0.3">
      <c r="A18" t="s">
        <v>13</v>
      </c>
    </row>
    <row r="19" spans="1:1" x14ac:dyDescent="0.3">
      <c r="A19" t="s">
        <v>13</v>
      </c>
    </row>
    <row r="20" spans="1:1" x14ac:dyDescent="0.3">
      <c r="A20" t="s">
        <v>13</v>
      </c>
    </row>
    <row r="21" spans="1:1" x14ac:dyDescent="0.3">
      <c r="A21" t="s">
        <v>13</v>
      </c>
    </row>
    <row r="22" spans="1:1" x14ac:dyDescent="0.3">
      <c r="A22" t="s">
        <v>13</v>
      </c>
    </row>
    <row r="23" spans="1:1" x14ac:dyDescent="0.3">
      <c r="A23" t="s">
        <v>13</v>
      </c>
    </row>
    <row r="24" spans="1:1" x14ac:dyDescent="0.3">
      <c r="A24" t="s">
        <v>13</v>
      </c>
    </row>
    <row r="25" spans="1:1" x14ac:dyDescent="0.3">
      <c r="A25" t="s">
        <v>13</v>
      </c>
    </row>
    <row r="26" spans="1:1" x14ac:dyDescent="0.3">
      <c r="A26" t="s">
        <v>13</v>
      </c>
    </row>
    <row r="27" spans="1:1" x14ac:dyDescent="0.3">
      <c r="A27" t="s">
        <v>13</v>
      </c>
    </row>
    <row r="28" spans="1:1" x14ac:dyDescent="0.3">
      <c r="A28" t="s">
        <v>13</v>
      </c>
    </row>
    <row r="29" spans="1:1" x14ac:dyDescent="0.3">
      <c r="A29" t="s">
        <v>13</v>
      </c>
    </row>
    <row r="30" spans="1:1" x14ac:dyDescent="0.3">
      <c r="A30" t="s">
        <v>13</v>
      </c>
    </row>
    <row r="31" spans="1:1" x14ac:dyDescent="0.3">
      <c r="A31" t="s">
        <v>13</v>
      </c>
    </row>
    <row r="32" spans="1:1" x14ac:dyDescent="0.3">
      <c r="A32" t="s">
        <v>13</v>
      </c>
    </row>
    <row r="33" spans="1:1" x14ac:dyDescent="0.3">
      <c r="A33" t="s">
        <v>13</v>
      </c>
    </row>
    <row r="34" spans="1:1" x14ac:dyDescent="0.3">
      <c r="A34" t="s">
        <v>13</v>
      </c>
    </row>
    <row r="35" spans="1:1" x14ac:dyDescent="0.3">
      <c r="A35" t="s">
        <v>13</v>
      </c>
    </row>
    <row r="36" spans="1:1" x14ac:dyDescent="0.3">
      <c r="A36" t="s">
        <v>13</v>
      </c>
    </row>
    <row r="37" spans="1:1" x14ac:dyDescent="0.3">
      <c r="A37" t="s">
        <v>13</v>
      </c>
    </row>
    <row r="38" spans="1:1" x14ac:dyDescent="0.3">
      <c r="A38" t="s">
        <v>13</v>
      </c>
    </row>
    <row r="39" spans="1:1" x14ac:dyDescent="0.3">
      <c r="A39" t="s">
        <v>13</v>
      </c>
    </row>
    <row r="40" spans="1:1" x14ac:dyDescent="0.3">
      <c r="A40" t="s">
        <v>13</v>
      </c>
    </row>
    <row r="41" spans="1:1" x14ac:dyDescent="0.3">
      <c r="A41" t="s">
        <v>13</v>
      </c>
    </row>
    <row r="42" spans="1:1" x14ac:dyDescent="0.3">
      <c r="A42" t="s">
        <v>13</v>
      </c>
    </row>
    <row r="43" spans="1:1" x14ac:dyDescent="0.3">
      <c r="A43" t="s">
        <v>13</v>
      </c>
    </row>
    <row r="44" spans="1:1" x14ac:dyDescent="0.3">
      <c r="A44" t="s">
        <v>13</v>
      </c>
    </row>
    <row r="45" spans="1:1" x14ac:dyDescent="0.3">
      <c r="A45" t="s">
        <v>13</v>
      </c>
    </row>
    <row r="46" spans="1:1" x14ac:dyDescent="0.3">
      <c r="A46" t="s">
        <v>12</v>
      </c>
    </row>
    <row r="47" spans="1:1" x14ac:dyDescent="0.3">
      <c r="A47" t="s">
        <v>12</v>
      </c>
    </row>
    <row r="48" spans="1:1" x14ac:dyDescent="0.3">
      <c r="A48" t="s">
        <v>12</v>
      </c>
    </row>
    <row r="49" spans="1:1" x14ac:dyDescent="0.3">
      <c r="A49" t="s">
        <v>12</v>
      </c>
    </row>
    <row r="50" spans="1:1" x14ac:dyDescent="0.3">
      <c r="A50" t="s">
        <v>12</v>
      </c>
    </row>
    <row r="51" spans="1:1" x14ac:dyDescent="0.3">
      <c r="A51" t="s">
        <v>12</v>
      </c>
    </row>
    <row r="52" spans="1:1" x14ac:dyDescent="0.3">
      <c r="A52" t="s">
        <v>12</v>
      </c>
    </row>
    <row r="53" spans="1:1" x14ac:dyDescent="0.3">
      <c r="A53" t="s">
        <v>12</v>
      </c>
    </row>
    <row r="54" spans="1:1" x14ac:dyDescent="0.3">
      <c r="A54" t="s">
        <v>12</v>
      </c>
    </row>
    <row r="55" spans="1:1" x14ac:dyDescent="0.3">
      <c r="A55" t="s">
        <v>12</v>
      </c>
    </row>
    <row r="56" spans="1:1" x14ac:dyDescent="0.3">
      <c r="A56" t="s">
        <v>12</v>
      </c>
    </row>
    <row r="57" spans="1:1" x14ac:dyDescent="0.3">
      <c r="A57" t="s">
        <v>12</v>
      </c>
    </row>
    <row r="58" spans="1:1" x14ac:dyDescent="0.3">
      <c r="A58" t="s">
        <v>12</v>
      </c>
    </row>
    <row r="59" spans="1:1" x14ac:dyDescent="0.3">
      <c r="A59" t="s">
        <v>12</v>
      </c>
    </row>
    <row r="60" spans="1:1" x14ac:dyDescent="0.3">
      <c r="A60" t="s">
        <v>12</v>
      </c>
    </row>
    <row r="61" spans="1:1" x14ac:dyDescent="0.3">
      <c r="A61" t="s">
        <v>12</v>
      </c>
    </row>
    <row r="62" spans="1:1" x14ac:dyDescent="0.3">
      <c r="A62" t="s">
        <v>12</v>
      </c>
    </row>
    <row r="63" spans="1:1" x14ac:dyDescent="0.3">
      <c r="A63" t="s">
        <v>12</v>
      </c>
    </row>
    <row r="64" spans="1:1" x14ac:dyDescent="0.3">
      <c r="A64" t="s">
        <v>12</v>
      </c>
    </row>
    <row r="65" spans="1:1" x14ac:dyDescent="0.3">
      <c r="A65" t="s">
        <v>12</v>
      </c>
    </row>
    <row r="66" spans="1:1" x14ac:dyDescent="0.3">
      <c r="A66" t="s">
        <v>12</v>
      </c>
    </row>
    <row r="67" spans="1:1" x14ac:dyDescent="0.3">
      <c r="A67" t="s">
        <v>12</v>
      </c>
    </row>
    <row r="68" spans="1:1" x14ac:dyDescent="0.3">
      <c r="A68" t="s">
        <v>12</v>
      </c>
    </row>
    <row r="69" spans="1:1" x14ac:dyDescent="0.3">
      <c r="A69" t="s">
        <v>12</v>
      </c>
    </row>
    <row r="70" spans="1:1" x14ac:dyDescent="0.3">
      <c r="A70" t="s">
        <v>12</v>
      </c>
    </row>
    <row r="71" spans="1:1" x14ac:dyDescent="0.3">
      <c r="A71" t="s">
        <v>12</v>
      </c>
    </row>
    <row r="72" spans="1:1" x14ac:dyDescent="0.3">
      <c r="A72" t="s">
        <v>12</v>
      </c>
    </row>
    <row r="73" spans="1:1" x14ac:dyDescent="0.3">
      <c r="A73" t="s">
        <v>12</v>
      </c>
    </row>
    <row r="74" spans="1:1" x14ac:dyDescent="0.3">
      <c r="A74" t="s">
        <v>12</v>
      </c>
    </row>
    <row r="75" spans="1:1" x14ac:dyDescent="0.3">
      <c r="A75" t="s">
        <v>12</v>
      </c>
    </row>
    <row r="76" spans="1:1" x14ac:dyDescent="0.3">
      <c r="A76" t="s">
        <v>12</v>
      </c>
    </row>
    <row r="77" spans="1:1" x14ac:dyDescent="0.3">
      <c r="A77" t="s">
        <v>12</v>
      </c>
    </row>
    <row r="78" spans="1:1" x14ac:dyDescent="0.3">
      <c r="A78" t="s">
        <v>12</v>
      </c>
    </row>
    <row r="79" spans="1:1" x14ac:dyDescent="0.3">
      <c r="A79" t="s">
        <v>12</v>
      </c>
    </row>
    <row r="80" spans="1:1" x14ac:dyDescent="0.3">
      <c r="A80" t="s">
        <v>12</v>
      </c>
    </row>
    <row r="81" spans="1:1" x14ac:dyDescent="0.3">
      <c r="A81" t="s">
        <v>12</v>
      </c>
    </row>
    <row r="82" spans="1:1" x14ac:dyDescent="0.3">
      <c r="A82" t="s">
        <v>12</v>
      </c>
    </row>
    <row r="83" spans="1:1" x14ac:dyDescent="0.3">
      <c r="A83" t="s">
        <v>12</v>
      </c>
    </row>
    <row r="84" spans="1:1" x14ac:dyDescent="0.3">
      <c r="A84" t="s">
        <v>12</v>
      </c>
    </row>
    <row r="85" spans="1:1" x14ac:dyDescent="0.3">
      <c r="A85" t="s">
        <v>12</v>
      </c>
    </row>
    <row r="86" spans="1:1" x14ac:dyDescent="0.3">
      <c r="A86" t="s">
        <v>12</v>
      </c>
    </row>
    <row r="87" spans="1:1" x14ac:dyDescent="0.3">
      <c r="A87" t="s">
        <v>12</v>
      </c>
    </row>
    <row r="88" spans="1:1" x14ac:dyDescent="0.3">
      <c r="A88" t="s">
        <v>12</v>
      </c>
    </row>
    <row r="89" spans="1:1" x14ac:dyDescent="0.3">
      <c r="A89" t="s">
        <v>12</v>
      </c>
    </row>
    <row r="90" spans="1:1" x14ac:dyDescent="0.3">
      <c r="A90" t="s">
        <v>12</v>
      </c>
    </row>
    <row r="91" spans="1:1" x14ac:dyDescent="0.3">
      <c r="A91" t="s">
        <v>12</v>
      </c>
    </row>
    <row r="92" spans="1:1" x14ac:dyDescent="0.3">
      <c r="A92" t="s">
        <v>12</v>
      </c>
    </row>
    <row r="93" spans="1:1" x14ac:dyDescent="0.3">
      <c r="A93" t="s">
        <v>12</v>
      </c>
    </row>
    <row r="94" spans="1:1" x14ac:dyDescent="0.3">
      <c r="A94" t="s">
        <v>12</v>
      </c>
    </row>
    <row r="95" spans="1:1" x14ac:dyDescent="0.3">
      <c r="A95" t="s">
        <v>12</v>
      </c>
    </row>
    <row r="96" spans="1:1" x14ac:dyDescent="0.3">
      <c r="A96" t="s">
        <v>12</v>
      </c>
    </row>
    <row r="97" spans="1:1" x14ac:dyDescent="0.3">
      <c r="A97" t="s">
        <v>12</v>
      </c>
    </row>
    <row r="98" spans="1:1" x14ac:dyDescent="0.3">
      <c r="A98" t="s">
        <v>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1BCE1-9E8E-4060-984F-0E50E40E0369}">
  <sheetPr codeName="Sheet3">
    <tabColor theme="4" tint="0.79998168889431442"/>
  </sheetPr>
  <dimension ref="B1:N100"/>
  <sheetViews>
    <sheetView showGridLines="0" workbookViewId="0">
      <selection activeCell="D4" sqref="D4"/>
    </sheetView>
  </sheetViews>
  <sheetFormatPr defaultRowHeight="14.4" x14ac:dyDescent="0.3"/>
  <cols>
    <col min="1" max="1" width="2.88671875" customWidth="1"/>
    <col min="2" max="2" width="11.6640625" customWidth="1"/>
    <col min="3" max="3" width="9.109375" customWidth="1"/>
    <col min="4" max="4" width="10.77734375" bestFit="1" customWidth="1"/>
    <col min="5" max="5" width="9.77734375" bestFit="1" customWidth="1"/>
    <col min="6" max="6" width="17" bestFit="1" customWidth="1"/>
    <col min="8" max="8" width="11.33203125" bestFit="1" customWidth="1"/>
    <col min="9" max="9" width="10.33203125" bestFit="1" customWidth="1"/>
    <col min="10" max="10" width="18.33203125" bestFit="1" customWidth="1"/>
    <col min="12" max="12" width="11.33203125" bestFit="1" customWidth="1"/>
    <col min="13" max="13" width="10.33203125" bestFit="1" customWidth="1"/>
    <col min="14" max="14" width="18.33203125" bestFit="1" customWidth="1"/>
  </cols>
  <sheetData>
    <row r="1" spans="2:14" ht="25.5" customHeight="1" x14ac:dyDescent="0.35">
      <c r="B1" s="17" t="s">
        <v>233</v>
      </c>
    </row>
    <row r="2" spans="2:14" ht="15.6" x14ac:dyDescent="0.3">
      <c r="B2" s="27" t="s">
        <v>1</v>
      </c>
    </row>
    <row r="3" spans="2:14" ht="18" customHeight="1" x14ac:dyDescent="0.3"/>
    <row r="4" spans="2:14" x14ac:dyDescent="0.3">
      <c r="D4" s="3"/>
      <c r="H4" s="3"/>
      <c r="L4" s="3"/>
    </row>
    <row r="5" spans="2:14" x14ac:dyDescent="0.3">
      <c r="B5" s="7" t="s">
        <v>11</v>
      </c>
      <c r="D5" s="9" t="s">
        <v>11</v>
      </c>
      <c r="E5" t="s">
        <v>14</v>
      </c>
      <c r="F5" t="s">
        <v>15</v>
      </c>
      <c r="H5" s="54" t="s">
        <v>11</v>
      </c>
      <c r="I5" s="55" t="s">
        <v>14</v>
      </c>
      <c r="J5" s="56" t="s">
        <v>15</v>
      </c>
      <c r="L5" s="57" t="s">
        <v>11</v>
      </c>
      <c r="M5" s="58" t="s">
        <v>14</v>
      </c>
      <c r="N5" s="59" t="s">
        <v>15</v>
      </c>
    </row>
    <row r="6" spans="2:14" x14ac:dyDescent="0.3">
      <c r="B6" s="8" t="s">
        <v>12</v>
      </c>
      <c r="D6" s="95" t="s">
        <v>13</v>
      </c>
      <c r="E6">
        <v>42</v>
      </c>
      <c r="F6" s="97">
        <v>0.44210526315789472</v>
      </c>
      <c r="H6" s="8" t="s">
        <v>13</v>
      </c>
      <c r="I6" s="8">
        <f>COUNTIFS($B$6:$B$100,H6)</f>
        <v>42</v>
      </c>
      <c r="J6" s="53">
        <f>I6/SUM($I$6:$I$7)</f>
        <v>0.44210526315789472</v>
      </c>
      <c r="L6" s="8" t="str" cm="1">
        <f t="array" ref="L6:L7">_xlfn._xlws.SORT(_xlfn.UNIQUE(B6:B100))</f>
        <v>Not Placed</v>
      </c>
      <c r="M6" s="8" cm="1">
        <f t="array" ref="M6:M7">COUNTIFS(B6:B100,_xlfn.ANCHORARRAY(L6))</f>
        <v>42</v>
      </c>
      <c r="N6" s="53" cm="1">
        <f t="array" ref="N6:N7">_xlfn.ANCHORARRAY(M6)/SUM(_xlfn.ANCHORARRAY(M6))</f>
        <v>0.44210526315789472</v>
      </c>
    </row>
    <row r="7" spans="2:14" x14ac:dyDescent="0.3">
      <c r="B7" s="8" t="s">
        <v>13</v>
      </c>
      <c r="D7" s="95" t="s">
        <v>12</v>
      </c>
      <c r="E7">
        <v>53</v>
      </c>
      <c r="F7" s="97">
        <v>0.55789473684210522</v>
      </c>
      <c r="H7" s="8" t="s">
        <v>12</v>
      </c>
      <c r="I7" s="8">
        <f>COUNTIFS($B$6:$B$100,H7)</f>
        <v>53</v>
      </c>
      <c r="J7" s="53">
        <f>I7/SUM($I$6:$I$7)</f>
        <v>0.55789473684210522</v>
      </c>
      <c r="L7" s="8" t="str">
        <v>Placed</v>
      </c>
      <c r="M7" s="8">
        <v>53</v>
      </c>
      <c r="N7" s="53">
        <v>0.55789473684210522</v>
      </c>
    </row>
    <row r="8" spans="2:14" x14ac:dyDescent="0.3">
      <c r="B8" s="8" t="s">
        <v>12</v>
      </c>
      <c r="D8" s="95" t="s">
        <v>16</v>
      </c>
      <c r="E8">
        <v>95</v>
      </c>
      <c r="F8" s="97">
        <v>1</v>
      </c>
    </row>
    <row r="9" spans="2:14" x14ac:dyDescent="0.3">
      <c r="B9" s="8" t="s">
        <v>13</v>
      </c>
    </row>
    <row r="10" spans="2:14" x14ac:dyDescent="0.3">
      <c r="B10" s="8" t="s">
        <v>13</v>
      </c>
    </row>
    <row r="11" spans="2:14" x14ac:dyDescent="0.3">
      <c r="B11" s="8" t="s">
        <v>13</v>
      </c>
    </row>
    <row r="12" spans="2:14" x14ac:dyDescent="0.3">
      <c r="B12" s="8" t="s">
        <v>12</v>
      </c>
    </row>
    <row r="13" spans="2:14" x14ac:dyDescent="0.3">
      <c r="B13" s="8" t="s">
        <v>12</v>
      </c>
    </row>
    <row r="14" spans="2:14" x14ac:dyDescent="0.3">
      <c r="B14" s="8" t="s">
        <v>12</v>
      </c>
    </row>
    <row r="15" spans="2:14" x14ac:dyDescent="0.3">
      <c r="B15" s="8" t="s">
        <v>12</v>
      </c>
    </row>
    <row r="16" spans="2:14" x14ac:dyDescent="0.3">
      <c r="B16" s="8" t="s">
        <v>13</v>
      </c>
    </row>
    <row r="17" spans="2:2" x14ac:dyDescent="0.3">
      <c r="B17" s="8" t="s">
        <v>12</v>
      </c>
    </row>
    <row r="18" spans="2:2" x14ac:dyDescent="0.3">
      <c r="B18" s="8" t="s">
        <v>13</v>
      </c>
    </row>
    <row r="19" spans="2:2" x14ac:dyDescent="0.3">
      <c r="B19" s="8" t="s">
        <v>12</v>
      </c>
    </row>
    <row r="20" spans="2:2" x14ac:dyDescent="0.3">
      <c r="B20" s="8" t="s">
        <v>12</v>
      </c>
    </row>
    <row r="21" spans="2:2" x14ac:dyDescent="0.3">
      <c r="B21" s="8" t="s">
        <v>12</v>
      </c>
    </row>
    <row r="22" spans="2:2" x14ac:dyDescent="0.3">
      <c r="B22" s="8" t="s">
        <v>13</v>
      </c>
    </row>
    <row r="23" spans="2:2" x14ac:dyDescent="0.3">
      <c r="B23" s="8" t="s">
        <v>12</v>
      </c>
    </row>
    <row r="24" spans="2:2" x14ac:dyDescent="0.3">
      <c r="B24" s="8" t="s">
        <v>13</v>
      </c>
    </row>
    <row r="25" spans="2:2" x14ac:dyDescent="0.3">
      <c r="B25" s="8" t="s">
        <v>13</v>
      </c>
    </row>
    <row r="26" spans="2:2" x14ac:dyDescent="0.3">
      <c r="B26" s="8" t="s">
        <v>13</v>
      </c>
    </row>
    <row r="27" spans="2:2" x14ac:dyDescent="0.3">
      <c r="B27" s="8" t="s">
        <v>12</v>
      </c>
    </row>
    <row r="28" spans="2:2" x14ac:dyDescent="0.3">
      <c r="B28" s="8" t="s">
        <v>13</v>
      </c>
    </row>
    <row r="29" spans="2:2" x14ac:dyDescent="0.3">
      <c r="B29" s="8" t="s">
        <v>13</v>
      </c>
    </row>
    <row r="30" spans="2:2" x14ac:dyDescent="0.3">
      <c r="B30" s="8" t="s">
        <v>12</v>
      </c>
    </row>
    <row r="31" spans="2:2" x14ac:dyDescent="0.3">
      <c r="B31" s="8" t="s">
        <v>12</v>
      </c>
    </row>
    <row r="32" spans="2:2" x14ac:dyDescent="0.3">
      <c r="B32" s="8" t="s">
        <v>12</v>
      </c>
    </row>
    <row r="33" spans="2:2" x14ac:dyDescent="0.3">
      <c r="B33" s="8" t="s">
        <v>13</v>
      </c>
    </row>
    <row r="34" spans="2:2" x14ac:dyDescent="0.3">
      <c r="B34" s="8" t="s">
        <v>13</v>
      </c>
    </row>
    <row r="35" spans="2:2" x14ac:dyDescent="0.3">
      <c r="B35" s="8" t="s">
        <v>12</v>
      </c>
    </row>
    <row r="36" spans="2:2" x14ac:dyDescent="0.3">
      <c r="B36" s="8" t="s">
        <v>13</v>
      </c>
    </row>
    <row r="37" spans="2:2" x14ac:dyDescent="0.3">
      <c r="B37" s="8" t="s">
        <v>13</v>
      </c>
    </row>
    <row r="38" spans="2:2" x14ac:dyDescent="0.3">
      <c r="B38" s="8" t="s">
        <v>13</v>
      </c>
    </row>
    <row r="39" spans="2:2" x14ac:dyDescent="0.3">
      <c r="B39" s="8" t="s">
        <v>12</v>
      </c>
    </row>
    <row r="40" spans="2:2" x14ac:dyDescent="0.3">
      <c r="B40" s="8" t="s">
        <v>13</v>
      </c>
    </row>
    <row r="41" spans="2:2" x14ac:dyDescent="0.3">
      <c r="B41" s="8" t="s">
        <v>12</v>
      </c>
    </row>
    <row r="42" spans="2:2" x14ac:dyDescent="0.3">
      <c r="B42" s="8" t="s">
        <v>12</v>
      </c>
    </row>
    <row r="43" spans="2:2" x14ac:dyDescent="0.3">
      <c r="B43" s="8" t="s">
        <v>13</v>
      </c>
    </row>
    <row r="44" spans="2:2" x14ac:dyDescent="0.3">
      <c r="B44" s="8" t="s">
        <v>13</v>
      </c>
    </row>
    <row r="45" spans="2:2" x14ac:dyDescent="0.3">
      <c r="B45" s="8" t="s">
        <v>13</v>
      </c>
    </row>
    <row r="46" spans="2:2" x14ac:dyDescent="0.3">
      <c r="B46" s="8" t="s">
        <v>12</v>
      </c>
    </row>
    <row r="47" spans="2:2" x14ac:dyDescent="0.3">
      <c r="B47" s="8" t="s">
        <v>12</v>
      </c>
    </row>
    <row r="48" spans="2:2" x14ac:dyDescent="0.3">
      <c r="B48" s="8" t="s">
        <v>12</v>
      </c>
    </row>
    <row r="49" spans="2:2" x14ac:dyDescent="0.3">
      <c r="B49" s="8" t="s">
        <v>13</v>
      </c>
    </row>
    <row r="50" spans="2:2" x14ac:dyDescent="0.3">
      <c r="B50" s="8" t="s">
        <v>12</v>
      </c>
    </row>
    <row r="51" spans="2:2" x14ac:dyDescent="0.3">
      <c r="B51" s="8" t="s">
        <v>13</v>
      </c>
    </row>
    <row r="52" spans="2:2" x14ac:dyDescent="0.3">
      <c r="B52" s="8" t="s">
        <v>12</v>
      </c>
    </row>
    <row r="53" spans="2:2" x14ac:dyDescent="0.3">
      <c r="B53" s="8" t="s">
        <v>13</v>
      </c>
    </row>
    <row r="54" spans="2:2" x14ac:dyDescent="0.3">
      <c r="B54" s="8" t="s">
        <v>12</v>
      </c>
    </row>
    <row r="55" spans="2:2" x14ac:dyDescent="0.3">
      <c r="B55" s="8" t="s">
        <v>12</v>
      </c>
    </row>
    <row r="56" spans="2:2" x14ac:dyDescent="0.3">
      <c r="B56" s="8" t="s">
        <v>12</v>
      </c>
    </row>
    <row r="57" spans="2:2" x14ac:dyDescent="0.3">
      <c r="B57" s="8" t="s">
        <v>13</v>
      </c>
    </row>
    <row r="58" spans="2:2" x14ac:dyDescent="0.3">
      <c r="B58" s="8" t="s">
        <v>12</v>
      </c>
    </row>
    <row r="59" spans="2:2" x14ac:dyDescent="0.3">
      <c r="B59" s="8" t="s">
        <v>12</v>
      </c>
    </row>
    <row r="60" spans="2:2" x14ac:dyDescent="0.3">
      <c r="B60" s="8" t="s">
        <v>12</v>
      </c>
    </row>
    <row r="61" spans="2:2" x14ac:dyDescent="0.3">
      <c r="B61" s="8" t="s">
        <v>12</v>
      </c>
    </row>
    <row r="62" spans="2:2" x14ac:dyDescent="0.3">
      <c r="B62" s="8" t="s">
        <v>12</v>
      </c>
    </row>
    <row r="63" spans="2:2" x14ac:dyDescent="0.3">
      <c r="B63" s="8" t="s">
        <v>12</v>
      </c>
    </row>
    <row r="64" spans="2:2" x14ac:dyDescent="0.3">
      <c r="B64" s="8" t="s">
        <v>12</v>
      </c>
    </row>
    <row r="65" spans="2:2" x14ac:dyDescent="0.3">
      <c r="B65" s="8" t="s">
        <v>12</v>
      </c>
    </row>
    <row r="66" spans="2:2" x14ac:dyDescent="0.3">
      <c r="B66" s="8" t="s">
        <v>12</v>
      </c>
    </row>
    <row r="67" spans="2:2" x14ac:dyDescent="0.3">
      <c r="B67" s="8" t="s">
        <v>13</v>
      </c>
    </row>
    <row r="68" spans="2:2" x14ac:dyDescent="0.3">
      <c r="B68" s="8" t="s">
        <v>12</v>
      </c>
    </row>
    <row r="69" spans="2:2" x14ac:dyDescent="0.3">
      <c r="B69" s="8" t="s">
        <v>12</v>
      </c>
    </row>
    <row r="70" spans="2:2" x14ac:dyDescent="0.3">
      <c r="B70" s="8" t="s">
        <v>13</v>
      </c>
    </row>
    <row r="71" spans="2:2" x14ac:dyDescent="0.3">
      <c r="B71" s="8" t="s">
        <v>13</v>
      </c>
    </row>
    <row r="72" spans="2:2" x14ac:dyDescent="0.3">
      <c r="B72" s="8" t="s">
        <v>12</v>
      </c>
    </row>
    <row r="73" spans="2:2" x14ac:dyDescent="0.3">
      <c r="B73" s="8" t="s">
        <v>13</v>
      </c>
    </row>
    <row r="74" spans="2:2" x14ac:dyDescent="0.3">
      <c r="B74" s="8" t="s">
        <v>12</v>
      </c>
    </row>
    <row r="75" spans="2:2" x14ac:dyDescent="0.3">
      <c r="B75" s="8" t="s">
        <v>13</v>
      </c>
    </row>
    <row r="76" spans="2:2" x14ac:dyDescent="0.3">
      <c r="B76" s="8" t="s">
        <v>12</v>
      </c>
    </row>
    <row r="77" spans="2:2" x14ac:dyDescent="0.3">
      <c r="B77" s="8" t="s">
        <v>13</v>
      </c>
    </row>
    <row r="78" spans="2:2" x14ac:dyDescent="0.3">
      <c r="B78" s="8" t="s">
        <v>13</v>
      </c>
    </row>
    <row r="79" spans="2:2" x14ac:dyDescent="0.3">
      <c r="B79" s="8" t="s">
        <v>13</v>
      </c>
    </row>
    <row r="80" spans="2:2" x14ac:dyDescent="0.3">
      <c r="B80" s="8" t="s">
        <v>12</v>
      </c>
    </row>
    <row r="81" spans="2:2" x14ac:dyDescent="0.3">
      <c r="B81" s="8" t="s">
        <v>13</v>
      </c>
    </row>
    <row r="82" spans="2:2" x14ac:dyDescent="0.3">
      <c r="B82" s="8" t="s">
        <v>13</v>
      </c>
    </row>
    <row r="83" spans="2:2" x14ac:dyDescent="0.3">
      <c r="B83" s="8" t="s">
        <v>12</v>
      </c>
    </row>
    <row r="84" spans="2:2" x14ac:dyDescent="0.3">
      <c r="B84" s="8" t="s">
        <v>12</v>
      </c>
    </row>
    <row r="85" spans="2:2" x14ac:dyDescent="0.3">
      <c r="B85" s="8" t="s">
        <v>13</v>
      </c>
    </row>
    <row r="86" spans="2:2" x14ac:dyDescent="0.3">
      <c r="B86" s="8" t="s">
        <v>13</v>
      </c>
    </row>
    <row r="87" spans="2:2" x14ac:dyDescent="0.3">
      <c r="B87" s="8" t="s">
        <v>12</v>
      </c>
    </row>
    <row r="88" spans="2:2" x14ac:dyDescent="0.3">
      <c r="B88" s="8" t="s">
        <v>13</v>
      </c>
    </row>
    <row r="89" spans="2:2" x14ac:dyDescent="0.3">
      <c r="B89" s="8" t="s">
        <v>12</v>
      </c>
    </row>
    <row r="90" spans="2:2" x14ac:dyDescent="0.3">
      <c r="B90" s="8" t="s">
        <v>12</v>
      </c>
    </row>
    <row r="91" spans="2:2" x14ac:dyDescent="0.3">
      <c r="B91" s="8" t="s">
        <v>12</v>
      </c>
    </row>
    <row r="92" spans="2:2" x14ac:dyDescent="0.3">
      <c r="B92" s="8" t="s">
        <v>12</v>
      </c>
    </row>
    <row r="93" spans="2:2" x14ac:dyDescent="0.3">
      <c r="B93" s="8" t="s">
        <v>13</v>
      </c>
    </row>
    <row r="94" spans="2:2" x14ac:dyDescent="0.3">
      <c r="B94" s="8" t="s">
        <v>12</v>
      </c>
    </row>
    <row r="95" spans="2:2" x14ac:dyDescent="0.3">
      <c r="B95" s="8" t="s">
        <v>13</v>
      </c>
    </row>
    <row r="96" spans="2:2" x14ac:dyDescent="0.3">
      <c r="B96" s="8" t="s">
        <v>12</v>
      </c>
    </row>
    <row r="97" spans="2:2" x14ac:dyDescent="0.3">
      <c r="B97" s="8" t="s">
        <v>12</v>
      </c>
    </row>
    <row r="98" spans="2:2" x14ac:dyDescent="0.3">
      <c r="B98" s="8" t="s">
        <v>13</v>
      </c>
    </row>
    <row r="99" spans="2:2" x14ac:dyDescent="0.3">
      <c r="B99" s="8" t="s">
        <v>12</v>
      </c>
    </row>
    <row r="100" spans="2:2" x14ac:dyDescent="0.3">
      <c r="B100" s="8" t="s">
        <v>13</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34EBD-DB20-4EB3-A48B-2F2A56C5CABD}">
  <sheetPr codeName="Sheet4">
    <tabColor theme="4" tint="0.79998168889431442"/>
  </sheetPr>
  <dimension ref="B1:J58"/>
  <sheetViews>
    <sheetView showGridLines="0" workbookViewId="0">
      <selection activeCell="H4" sqref="H4"/>
    </sheetView>
  </sheetViews>
  <sheetFormatPr defaultRowHeight="14.4" x14ac:dyDescent="0.3"/>
  <cols>
    <col min="1" max="1" width="2.88671875" customWidth="1"/>
    <col min="2" max="2" width="19.44140625" customWidth="1"/>
    <col min="4" max="4" width="14.77734375" bestFit="1" customWidth="1"/>
    <col min="5" max="5" width="9.77734375" bestFit="1" customWidth="1"/>
    <col min="6" max="6" width="27.33203125" bestFit="1" customWidth="1"/>
    <col min="9" max="9" width="19" customWidth="1"/>
    <col min="10" max="10" width="12.109375" customWidth="1"/>
  </cols>
  <sheetData>
    <row r="1" spans="2:10" ht="25.5" customHeight="1" x14ac:dyDescent="0.35">
      <c r="B1" s="17" t="s">
        <v>107</v>
      </c>
    </row>
    <row r="2" spans="2:10" ht="15" customHeight="1" x14ac:dyDescent="0.3">
      <c r="B2" s="27" t="s">
        <v>2</v>
      </c>
    </row>
    <row r="3" spans="2:10" ht="18" customHeight="1" x14ac:dyDescent="0.3"/>
    <row r="4" spans="2:10" ht="15" customHeight="1" x14ac:dyDescent="0.3">
      <c r="D4" s="3"/>
      <c r="H4" s="3"/>
    </row>
    <row r="5" spans="2:10" ht="28.8" x14ac:dyDescent="0.3">
      <c r="B5" s="14" t="s">
        <v>32</v>
      </c>
      <c r="D5" s="9" t="s">
        <v>30</v>
      </c>
      <c r="E5" t="s">
        <v>14</v>
      </c>
      <c r="F5" t="s">
        <v>301</v>
      </c>
      <c r="H5" s="60" t="s">
        <v>29</v>
      </c>
      <c r="I5" s="61" t="s">
        <v>32</v>
      </c>
      <c r="J5" s="59" t="s">
        <v>14</v>
      </c>
    </row>
    <row r="6" spans="2:10" x14ac:dyDescent="0.3">
      <c r="B6" s="8">
        <v>111</v>
      </c>
      <c r="C6" s="11"/>
      <c r="D6" s="95" t="s">
        <v>285</v>
      </c>
      <c r="E6">
        <v>0</v>
      </c>
      <c r="F6" s="97">
        <v>0</v>
      </c>
      <c r="H6" s="62">
        <v>90</v>
      </c>
      <c r="I6" s="8" t="str">
        <f>H6-20&amp;"-"&amp;H6</f>
        <v>70-90</v>
      </c>
      <c r="J6" s="8" cm="1">
        <f t="array" ref="J6:J19">FREQUENCY(B6:B58,H6:H18)</f>
        <v>9</v>
      </c>
    </row>
    <row r="7" spans="2:10" x14ac:dyDescent="0.3">
      <c r="B7" s="8">
        <v>107</v>
      </c>
      <c r="C7" s="11"/>
      <c r="D7" s="95" t="s">
        <v>286</v>
      </c>
      <c r="E7">
        <v>9</v>
      </c>
      <c r="F7" s="97">
        <v>0.16981132075471697</v>
      </c>
      <c r="H7" s="62">
        <v>110</v>
      </c>
      <c r="I7" s="8" t="str">
        <f t="shared" ref="I7:I19" si="0">H7-20&amp;"-"&amp;H7</f>
        <v>90-110</v>
      </c>
      <c r="J7" s="8">
        <v>22</v>
      </c>
    </row>
    <row r="8" spans="2:10" x14ac:dyDescent="0.3">
      <c r="B8" s="8">
        <v>109</v>
      </c>
      <c r="C8" s="11"/>
      <c r="D8" s="95" t="s">
        <v>287</v>
      </c>
      <c r="E8">
        <v>22</v>
      </c>
      <c r="F8" s="97">
        <v>0.58490566037735847</v>
      </c>
      <c r="H8" s="62">
        <v>130</v>
      </c>
      <c r="I8" s="8" t="str">
        <f t="shared" si="0"/>
        <v>110-130</v>
      </c>
      <c r="J8" s="8">
        <v>11</v>
      </c>
    </row>
    <row r="9" spans="2:10" x14ac:dyDescent="0.3">
      <c r="B9" s="8">
        <v>148</v>
      </c>
      <c r="C9" s="11"/>
      <c r="D9" s="95" t="s">
        <v>288</v>
      </c>
      <c r="E9">
        <v>11</v>
      </c>
      <c r="F9" s="97">
        <v>0.79245283018867929</v>
      </c>
      <c r="H9" s="62">
        <v>150</v>
      </c>
      <c r="I9" s="8" t="str">
        <f t="shared" si="0"/>
        <v>130-150</v>
      </c>
      <c r="J9" s="8">
        <v>4</v>
      </c>
    </row>
    <row r="10" spans="2:10" x14ac:dyDescent="0.3">
      <c r="B10" s="8">
        <v>255.5</v>
      </c>
      <c r="C10" s="11"/>
      <c r="D10" s="95" t="s">
        <v>289</v>
      </c>
      <c r="E10">
        <v>4</v>
      </c>
      <c r="F10" s="97">
        <v>0.86792452830188682</v>
      </c>
      <c r="H10" s="62">
        <v>170</v>
      </c>
      <c r="I10" s="8" t="str">
        <f t="shared" si="0"/>
        <v>150-170</v>
      </c>
      <c r="J10" s="8">
        <v>3</v>
      </c>
    </row>
    <row r="11" spans="2:10" x14ac:dyDescent="0.3">
      <c r="B11" s="8">
        <v>103.5</v>
      </c>
      <c r="C11" s="11"/>
      <c r="D11" s="95" t="s">
        <v>290</v>
      </c>
      <c r="E11">
        <v>3</v>
      </c>
      <c r="F11" s="97">
        <v>0.92452830188679247</v>
      </c>
      <c r="H11" s="62">
        <v>190</v>
      </c>
      <c r="I11" s="8" t="str">
        <f t="shared" si="0"/>
        <v>170-190</v>
      </c>
      <c r="J11" s="8">
        <v>1</v>
      </c>
    </row>
    <row r="12" spans="2:10" x14ac:dyDescent="0.3">
      <c r="B12" s="8">
        <v>114.5</v>
      </c>
      <c r="C12" s="11"/>
      <c r="D12" s="95" t="s">
        <v>291</v>
      </c>
      <c r="E12">
        <v>1</v>
      </c>
      <c r="F12" s="97">
        <v>0.94339622641509435</v>
      </c>
      <c r="H12" s="62">
        <v>210</v>
      </c>
      <c r="I12" s="8" t="str">
        <f t="shared" si="0"/>
        <v>190-210</v>
      </c>
      <c r="J12" s="8">
        <v>1</v>
      </c>
    </row>
    <row r="13" spans="2:10" x14ac:dyDescent="0.3">
      <c r="B13" s="8">
        <v>124</v>
      </c>
      <c r="C13" s="11"/>
      <c r="D13" s="95" t="s">
        <v>292</v>
      </c>
      <c r="E13">
        <v>1</v>
      </c>
      <c r="F13" s="97">
        <v>0.96226415094339623</v>
      </c>
      <c r="H13" s="62">
        <v>230</v>
      </c>
      <c r="I13" s="8" t="str">
        <f t="shared" si="0"/>
        <v>210-230</v>
      </c>
      <c r="J13" s="8">
        <v>0</v>
      </c>
    </row>
    <row r="14" spans="2:10" x14ac:dyDescent="0.3">
      <c r="B14" s="8">
        <v>132.5</v>
      </c>
      <c r="C14" s="11"/>
      <c r="D14" s="95" t="s">
        <v>293</v>
      </c>
      <c r="E14">
        <v>0</v>
      </c>
      <c r="F14" s="97">
        <v>0.96226415094339623</v>
      </c>
      <c r="H14" s="62">
        <v>250</v>
      </c>
      <c r="I14" s="8" t="str">
        <f t="shared" si="0"/>
        <v>230-250</v>
      </c>
      <c r="J14" s="8">
        <v>0</v>
      </c>
    </row>
    <row r="15" spans="2:10" x14ac:dyDescent="0.3">
      <c r="B15" s="8">
        <v>99</v>
      </c>
      <c r="C15" s="11"/>
      <c r="D15" s="95" t="s">
        <v>294</v>
      </c>
      <c r="E15">
        <v>0</v>
      </c>
      <c r="F15" s="97">
        <v>0.96226415094339623</v>
      </c>
      <c r="H15" s="62">
        <v>270</v>
      </c>
      <c r="I15" s="8" t="str">
        <f t="shared" si="0"/>
        <v>250-270</v>
      </c>
      <c r="J15" s="8">
        <v>1</v>
      </c>
    </row>
    <row r="16" spans="2:10" x14ac:dyDescent="0.3">
      <c r="B16" s="8">
        <v>124</v>
      </c>
      <c r="C16" s="11"/>
      <c r="D16" s="95" t="s">
        <v>295</v>
      </c>
      <c r="E16">
        <v>1</v>
      </c>
      <c r="F16" s="97">
        <v>0.98113207547169812</v>
      </c>
      <c r="H16" s="62">
        <v>290</v>
      </c>
      <c r="I16" s="8" t="str">
        <f t="shared" si="0"/>
        <v>270-290</v>
      </c>
      <c r="J16" s="8">
        <v>0</v>
      </c>
    </row>
    <row r="17" spans="2:10" x14ac:dyDescent="0.3">
      <c r="B17" s="8">
        <v>82</v>
      </c>
      <c r="C17" s="11"/>
      <c r="D17" s="95" t="s">
        <v>296</v>
      </c>
      <c r="E17">
        <v>0</v>
      </c>
      <c r="F17" s="97">
        <v>0.98113207547169812</v>
      </c>
      <c r="H17" s="62">
        <v>310</v>
      </c>
      <c r="I17" s="8" t="str">
        <f t="shared" si="0"/>
        <v>290-310</v>
      </c>
      <c r="J17" s="8">
        <v>0</v>
      </c>
    </row>
    <row r="18" spans="2:10" x14ac:dyDescent="0.3">
      <c r="B18" s="8">
        <v>185</v>
      </c>
      <c r="C18" s="11"/>
      <c r="D18" s="95" t="s">
        <v>297</v>
      </c>
      <c r="E18">
        <v>0</v>
      </c>
      <c r="F18" s="97">
        <v>0.98113207547169812</v>
      </c>
      <c r="H18" s="62">
        <v>330</v>
      </c>
      <c r="I18" s="8" t="str">
        <f t="shared" si="0"/>
        <v>310-330</v>
      </c>
      <c r="J18" s="8">
        <v>0</v>
      </c>
    </row>
    <row r="19" spans="2:10" x14ac:dyDescent="0.3">
      <c r="B19" s="8">
        <v>89.5</v>
      </c>
      <c r="C19" s="11"/>
      <c r="D19" s="95" t="s">
        <v>298</v>
      </c>
      <c r="E19">
        <v>0</v>
      </c>
      <c r="F19" s="97">
        <v>0.98113207547169812</v>
      </c>
      <c r="H19" s="62">
        <v>350</v>
      </c>
      <c r="I19" s="8" t="str">
        <f t="shared" si="0"/>
        <v>330-350</v>
      </c>
      <c r="J19" s="8">
        <v>1</v>
      </c>
    </row>
    <row r="20" spans="2:10" x14ac:dyDescent="0.3">
      <c r="B20" s="8">
        <v>91.5</v>
      </c>
      <c r="C20" s="11"/>
      <c r="D20" s="95" t="s">
        <v>299</v>
      </c>
      <c r="E20">
        <v>1</v>
      </c>
      <c r="F20" s="97">
        <v>1</v>
      </c>
    </row>
    <row r="21" spans="2:10" x14ac:dyDescent="0.3">
      <c r="B21" s="8">
        <v>113.5</v>
      </c>
      <c r="C21" s="11"/>
      <c r="D21" s="95" t="s">
        <v>300</v>
      </c>
      <c r="E21">
        <v>0</v>
      </c>
      <c r="F21" s="97">
        <v>1</v>
      </c>
    </row>
    <row r="22" spans="2:10" x14ac:dyDescent="0.3">
      <c r="B22" s="8">
        <v>99</v>
      </c>
      <c r="C22" s="11"/>
      <c r="D22" s="95" t="s">
        <v>16</v>
      </c>
      <c r="E22">
        <v>53</v>
      </c>
      <c r="F22" s="97"/>
    </row>
    <row r="23" spans="2:10" x14ac:dyDescent="0.3">
      <c r="B23" s="8">
        <v>75.5</v>
      </c>
      <c r="C23" s="11"/>
    </row>
    <row r="24" spans="2:10" x14ac:dyDescent="0.3">
      <c r="B24" s="8">
        <v>86</v>
      </c>
      <c r="C24" s="11"/>
    </row>
    <row r="25" spans="2:10" x14ac:dyDescent="0.3">
      <c r="B25" s="8">
        <v>156.5</v>
      </c>
      <c r="C25" s="11"/>
    </row>
    <row r="26" spans="2:10" x14ac:dyDescent="0.3">
      <c r="B26" s="8">
        <v>99.5</v>
      </c>
      <c r="C26" s="11"/>
    </row>
    <row r="27" spans="2:10" x14ac:dyDescent="0.3">
      <c r="B27" s="8">
        <v>148</v>
      </c>
      <c r="C27" s="11"/>
    </row>
    <row r="28" spans="2:10" x14ac:dyDescent="0.3">
      <c r="B28" s="8">
        <v>82</v>
      </c>
      <c r="C28" s="11"/>
    </row>
    <row r="29" spans="2:10" x14ac:dyDescent="0.3">
      <c r="B29" s="8">
        <v>103.5</v>
      </c>
      <c r="C29" s="11"/>
    </row>
    <row r="30" spans="2:10" x14ac:dyDescent="0.3">
      <c r="B30" s="8">
        <v>205.5</v>
      </c>
      <c r="C30" s="11"/>
    </row>
    <row r="31" spans="2:10" x14ac:dyDescent="0.3">
      <c r="B31" s="8">
        <v>103.5</v>
      </c>
      <c r="C31" s="11"/>
    </row>
    <row r="32" spans="2:10" x14ac:dyDescent="0.3">
      <c r="B32" s="8">
        <v>340</v>
      </c>
      <c r="C32" s="11"/>
    </row>
    <row r="33" spans="2:3" x14ac:dyDescent="0.3">
      <c r="B33" s="8">
        <v>103.5</v>
      </c>
      <c r="C33" s="11"/>
    </row>
    <row r="34" spans="2:3" x14ac:dyDescent="0.3">
      <c r="B34" s="8">
        <v>99.5</v>
      </c>
      <c r="C34" s="11"/>
    </row>
    <row r="35" spans="2:3" x14ac:dyDescent="0.3">
      <c r="B35" s="8">
        <v>103</v>
      </c>
      <c r="C35" s="11"/>
    </row>
    <row r="36" spans="2:3" x14ac:dyDescent="0.3">
      <c r="B36" s="8">
        <v>103.5</v>
      </c>
      <c r="C36" s="11"/>
    </row>
    <row r="37" spans="2:3" x14ac:dyDescent="0.3">
      <c r="B37" s="8">
        <v>165</v>
      </c>
      <c r="C37" s="11"/>
    </row>
    <row r="38" spans="2:3" x14ac:dyDescent="0.3">
      <c r="B38" s="8">
        <v>124.5</v>
      </c>
      <c r="C38" s="11"/>
    </row>
    <row r="39" spans="2:3" x14ac:dyDescent="0.3">
      <c r="B39" s="8">
        <v>103.5</v>
      </c>
      <c r="C39" s="11"/>
    </row>
    <row r="40" spans="2:3" x14ac:dyDescent="0.3">
      <c r="B40" s="8">
        <v>82.5</v>
      </c>
      <c r="C40" s="11"/>
    </row>
    <row r="41" spans="2:3" x14ac:dyDescent="0.3">
      <c r="B41" s="8">
        <v>93</v>
      </c>
      <c r="C41" s="11"/>
    </row>
    <row r="42" spans="2:3" x14ac:dyDescent="0.3">
      <c r="B42" s="8">
        <v>168</v>
      </c>
      <c r="C42" s="11"/>
    </row>
    <row r="43" spans="2:3" x14ac:dyDescent="0.3">
      <c r="B43" s="8">
        <v>96</v>
      </c>
      <c r="C43" s="11"/>
    </row>
    <row r="44" spans="2:3" x14ac:dyDescent="0.3">
      <c r="B44" s="8">
        <v>80</v>
      </c>
      <c r="C44" s="11"/>
    </row>
    <row r="45" spans="2:3" x14ac:dyDescent="0.3">
      <c r="B45" s="8">
        <v>124.5</v>
      </c>
      <c r="C45" s="11"/>
    </row>
    <row r="46" spans="2:3" x14ac:dyDescent="0.3">
      <c r="B46" s="8">
        <v>99</v>
      </c>
      <c r="C46" s="11"/>
    </row>
    <row r="47" spans="2:3" x14ac:dyDescent="0.3">
      <c r="B47" s="8">
        <v>124</v>
      </c>
      <c r="C47" s="11"/>
    </row>
    <row r="48" spans="2:3" x14ac:dyDescent="0.3">
      <c r="B48" s="8">
        <v>91.5</v>
      </c>
      <c r="C48" s="11"/>
    </row>
    <row r="49" spans="2:3" x14ac:dyDescent="0.3">
      <c r="B49" s="8">
        <v>144.5</v>
      </c>
      <c r="C49" s="11"/>
    </row>
    <row r="50" spans="2:3" x14ac:dyDescent="0.3">
      <c r="B50" s="8">
        <v>114.5</v>
      </c>
      <c r="C50" s="11"/>
    </row>
    <row r="51" spans="2:3" x14ac:dyDescent="0.3">
      <c r="B51" s="8">
        <v>104.5</v>
      </c>
      <c r="C51" s="11"/>
    </row>
    <row r="52" spans="2:3" x14ac:dyDescent="0.3">
      <c r="B52" s="8">
        <v>124</v>
      </c>
      <c r="C52" s="11"/>
    </row>
    <row r="53" spans="2:3" x14ac:dyDescent="0.3">
      <c r="B53" s="8">
        <v>113</v>
      </c>
      <c r="C53" s="11"/>
    </row>
    <row r="54" spans="2:3" x14ac:dyDescent="0.3">
      <c r="B54" s="8">
        <v>78</v>
      </c>
      <c r="C54" s="11"/>
    </row>
    <row r="55" spans="2:3" x14ac:dyDescent="0.3">
      <c r="B55" s="8">
        <v>109</v>
      </c>
      <c r="C55" s="11"/>
    </row>
    <row r="56" spans="2:3" x14ac:dyDescent="0.3">
      <c r="B56" s="8">
        <v>99.5</v>
      </c>
      <c r="C56" s="11"/>
    </row>
    <row r="57" spans="2:3" x14ac:dyDescent="0.3">
      <c r="B57" s="8">
        <v>107</v>
      </c>
      <c r="C57" s="11"/>
    </row>
    <row r="58" spans="2:3" x14ac:dyDescent="0.3">
      <c r="B58" s="8">
        <v>84</v>
      </c>
      <c r="C58" s="11"/>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B4540-9162-4B24-B477-8B574286D1EC}">
  <sheetPr codeName="Sheet5">
    <tabColor theme="4" tint="0.79998168889431442"/>
  </sheetPr>
  <dimension ref="B1:O58"/>
  <sheetViews>
    <sheetView showGridLines="0" workbookViewId="0">
      <selection activeCell="P23" sqref="P23"/>
    </sheetView>
  </sheetViews>
  <sheetFormatPr defaultRowHeight="14.4" x14ac:dyDescent="0.3"/>
  <cols>
    <col min="1" max="1" width="2.88671875" customWidth="1"/>
    <col min="2" max="2" width="19.44140625" customWidth="1"/>
    <col min="12" max="12" width="19" customWidth="1"/>
    <col min="13" max="13" width="12.109375" customWidth="1"/>
  </cols>
  <sheetData>
    <row r="1" spans="2:15" ht="25.5" customHeight="1" x14ac:dyDescent="0.35">
      <c r="B1" s="17" t="s">
        <v>107</v>
      </c>
    </row>
    <row r="2" spans="2:15" ht="15" customHeight="1" x14ac:dyDescent="0.3">
      <c r="B2" s="27" t="s">
        <v>3</v>
      </c>
    </row>
    <row r="3" spans="2:15" ht="18" customHeight="1" x14ac:dyDescent="0.3"/>
    <row r="4" spans="2:15" x14ac:dyDescent="0.3">
      <c r="D4" s="3" t="s">
        <v>48</v>
      </c>
      <c r="O4" s="3" t="s">
        <v>47</v>
      </c>
    </row>
    <row r="5" spans="2:15" ht="28.8" x14ac:dyDescent="0.3">
      <c r="B5" s="14" t="s">
        <v>32</v>
      </c>
      <c r="L5" s="13" t="s">
        <v>32</v>
      </c>
      <c r="M5" s="7" t="s">
        <v>14</v>
      </c>
    </row>
    <row r="6" spans="2:15" x14ac:dyDescent="0.3">
      <c r="B6" s="8">
        <v>111</v>
      </c>
      <c r="L6" s="8" t="s">
        <v>234</v>
      </c>
      <c r="M6" s="8">
        <v>9</v>
      </c>
    </row>
    <row r="7" spans="2:15" x14ac:dyDescent="0.3">
      <c r="B7" s="8">
        <v>107</v>
      </c>
      <c r="L7" s="8" t="s">
        <v>235</v>
      </c>
      <c r="M7" s="8">
        <v>18</v>
      </c>
    </row>
    <row r="8" spans="2:15" x14ac:dyDescent="0.3">
      <c r="B8" s="8">
        <v>109</v>
      </c>
      <c r="L8" s="8" t="s">
        <v>236</v>
      </c>
      <c r="M8" s="8">
        <v>9</v>
      </c>
    </row>
    <row r="9" spans="2:15" x14ac:dyDescent="0.3">
      <c r="B9" s="8">
        <v>148</v>
      </c>
      <c r="L9" s="8" t="s">
        <v>237</v>
      </c>
      <c r="M9" s="8">
        <v>7</v>
      </c>
    </row>
    <row r="10" spans="2:15" x14ac:dyDescent="0.3">
      <c r="B10" s="8">
        <v>255.5</v>
      </c>
      <c r="L10" s="8" t="s">
        <v>238</v>
      </c>
      <c r="M10" s="8">
        <v>3</v>
      </c>
    </row>
    <row r="11" spans="2:15" x14ac:dyDescent="0.3">
      <c r="B11" s="8">
        <v>103.5</v>
      </c>
      <c r="L11" s="8" t="s">
        <v>239</v>
      </c>
      <c r="M11" s="8">
        <v>2</v>
      </c>
    </row>
    <row r="12" spans="2:15" x14ac:dyDescent="0.3">
      <c r="B12" s="8">
        <v>114.5</v>
      </c>
      <c r="L12" s="8" t="s">
        <v>240</v>
      </c>
      <c r="M12" s="8">
        <v>1</v>
      </c>
    </row>
    <row r="13" spans="2:15" x14ac:dyDescent="0.3">
      <c r="B13" s="8">
        <v>124</v>
      </c>
      <c r="L13" s="8" t="s">
        <v>241</v>
      </c>
      <c r="M13" s="8">
        <v>1</v>
      </c>
    </row>
    <row r="14" spans="2:15" x14ac:dyDescent="0.3">
      <c r="B14" s="8">
        <v>132.5</v>
      </c>
      <c r="L14" s="8" t="s">
        <v>242</v>
      </c>
      <c r="M14" s="8">
        <v>1</v>
      </c>
    </row>
    <row r="15" spans="2:15" x14ac:dyDescent="0.3">
      <c r="B15" s="8">
        <v>99</v>
      </c>
      <c r="L15" s="8" t="s">
        <v>243</v>
      </c>
      <c r="M15" s="8">
        <v>0</v>
      </c>
    </row>
    <row r="16" spans="2:15" x14ac:dyDescent="0.3">
      <c r="B16" s="8">
        <v>124</v>
      </c>
      <c r="L16" s="8" t="s">
        <v>244</v>
      </c>
      <c r="M16" s="8">
        <v>0</v>
      </c>
    </row>
    <row r="17" spans="2:13" x14ac:dyDescent="0.3">
      <c r="B17" s="8">
        <v>82</v>
      </c>
      <c r="L17" s="8" t="s">
        <v>245</v>
      </c>
      <c r="M17" s="8">
        <v>0</v>
      </c>
    </row>
    <row r="18" spans="2:13" x14ac:dyDescent="0.3">
      <c r="B18" s="8">
        <v>185</v>
      </c>
      <c r="L18" s="8" t="s">
        <v>246</v>
      </c>
      <c r="M18" s="8">
        <v>1</v>
      </c>
    </row>
    <row r="19" spans="2:13" x14ac:dyDescent="0.3">
      <c r="B19" s="8">
        <v>89.5</v>
      </c>
      <c r="L19" s="8" t="s">
        <v>247</v>
      </c>
      <c r="M19" s="8">
        <v>0</v>
      </c>
    </row>
    <row r="20" spans="2:13" x14ac:dyDescent="0.3">
      <c r="B20" s="8">
        <v>91.5</v>
      </c>
      <c r="L20" s="8" t="s">
        <v>248</v>
      </c>
      <c r="M20" s="8">
        <v>0</v>
      </c>
    </row>
    <row r="21" spans="2:13" x14ac:dyDescent="0.3">
      <c r="B21" s="8">
        <v>113.5</v>
      </c>
      <c r="L21" s="8" t="s">
        <v>249</v>
      </c>
      <c r="M21" s="8">
        <v>0</v>
      </c>
    </row>
    <row r="22" spans="2:13" x14ac:dyDescent="0.3">
      <c r="B22" s="8">
        <v>99</v>
      </c>
      <c r="L22" s="8" t="s">
        <v>250</v>
      </c>
      <c r="M22" s="8">
        <v>0</v>
      </c>
    </row>
    <row r="23" spans="2:13" x14ac:dyDescent="0.3">
      <c r="B23" s="8">
        <v>75.5</v>
      </c>
      <c r="L23" s="8" t="s">
        <v>251</v>
      </c>
      <c r="M23" s="8">
        <v>1</v>
      </c>
    </row>
    <row r="24" spans="2:13" x14ac:dyDescent="0.3">
      <c r="B24" s="8">
        <v>86</v>
      </c>
    </row>
    <row r="25" spans="2:13" x14ac:dyDescent="0.3">
      <c r="B25" s="8">
        <v>156.5</v>
      </c>
    </row>
    <row r="26" spans="2:13" x14ac:dyDescent="0.3">
      <c r="B26" s="8">
        <v>99.5</v>
      </c>
    </row>
    <row r="27" spans="2:13" x14ac:dyDescent="0.3">
      <c r="B27" s="8">
        <v>148</v>
      </c>
    </row>
    <row r="28" spans="2:13" x14ac:dyDescent="0.3">
      <c r="B28" s="8">
        <v>82</v>
      </c>
    </row>
    <row r="29" spans="2:13" x14ac:dyDescent="0.3">
      <c r="B29" s="8">
        <v>103.5</v>
      </c>
    </row>
    <row r="30" spans="2:13" x14ac:dyDescent="0.3">
      <c r="B30" s="8">
        <v>205.5</v>
      </c>
    </row>
    <row r="31" spans="2:13" x14ac:dyDescent="0.3">
      <c r="B31" s="8">
        <v>103.5</v>
      </c>
    </row>
    <row r="32" spans="2:13" x14ac:dyDescent="0.3">
      <c r="B32" s="8">
        <v>340</v>
      </c>
    </row>
    <row r="33" spans="2:2" x14ac:dyDescent="0.3">
      <c r="B33" s="8">
        <v>103.5</v>
      </c>
    </row>
    <row r="34" spans="2:2" x14ac:dyDescent="0.3">
      <c r="B34" s="8">
        <v>99.5</v>
      </c>
    </row>
    <row r="35" spans="2:2" x14ac:dyDescent="0.3">
      <c r="B35" s="8">
        <v>103</v>
      </c>
    </row>
    <row r="36" spans="2:2" x14ac:dyDescent="0.3">
      <c r="B36" s="8">
        <v>103.5</v>
      </c>
    </row>
    <row r="37" spans="2:2" x14ac:dyDescent="0.3">
      <c r="B37" s="8">
        <v>165</v>
      </c>
    </row>
    <row r="38" spans="2:2" x14ac:dyDescent="0.3">
      <c r="B38" s="8">
        <v>124.5</v>
      </c>
    </row>
    <row r="39" spans="2:2" x14ac:dyDescent="0.3">
      <c r="B39" s="8">
        <v>103.5</v>
      </c>
    </row>
    <row r="40" spans="2:2" x14ac:dyDescent="0.3">
      <c r="B40" s="8">
        <v>82.5</v>
      </c>
    </row>
    <row r="41" spans="2:2" x14ac:dyDescent="0.3">
      <c r="B41" s="8">
        <v>93</v>
      </c>
    </row>
    <row r="42" spans="2:2" x14ac:dyDescent="0.3">
      <c r="B42" s="8">
        <v>168</v>
      </c>
    </row>
    <row r="43" spans="2:2" x14ac:dyDescent="0.3">
      <c r="B43" s="8">
        <v>96</v>
      </c>
    </row>
    <row r="44" spans="2:2" x14ac:dyDescent="0.3">
      <c r="B44" s="8">
        <v>80</v>
      </c>
    </row>
    <row r="45" spans="2:2" x14ac:dyDescent="0.3">
      <c r="B45" s="8">
        <v>124.5</v>
      </c>
    </row>
    <row r="46" spans="2:2" x14ac:dyDescent="0.3">
      <c r="B46" s="8">
        <v>99</v>
      </c>
    </row>
    <row r="47" spans="2:2" x14ac:dyDescent="0.3">
      <c r="B47" s="8">
        <v>124</v>
      </c>
    </row>
    <row r="48" spans="2:2" x14ac:dyDescent="0.3">
      <c r="B48" s="8">
        <v>91.5</v>
      </c>
    </row>
    <row r="49" spans="2:2" x14ac:dyDescent="0.3">
      <c r="B49" s="8">
        <v>144.5</v>
      </c>
    </row>
    <row r="50" spans="2:2" x14ac:dyDescent="0.3">
      <c r="B50" s="8">
        <v>114.5</v>
      </c>
    </row>
    <row r="51" spans="2:2" x14ac:dyDescent="0.3">
      <c r="B51" s="8">
        <v>104.5</v>
      </c>
    </row>
    <row r="52" spans="2:2" x14ac:dyDescent="0.3">
      <c r="B52" s="8">
        <v>124</v>
      </c>
    </row>
    <row r="53" spans="2:2" x14ac:dyDescent="0.3">
      <c r="B53" s="8">
        <v>113</v>
      </c>
    </row>
    <row r="54" spans="2:2" x14ac:dyDescent="0.3">
      <c r="B54" s="8">
        <v>78</v>
      </c>
    </row>
    <row r="55" spans="2:2" x14ac:dyDescent="0.3">
      <c r="B55" s="8">
        <v>109</v>
      </c>
    </row>
    <row r="56" spans="2:2" x14ac:dyDescent="0.3">
      <c r="B56" s="8">
        <v>99.5</v>
      </c>
    </row>
    <row r="57" spans="2:2" x14ac:dyDescent="0.3">
      <c r="B57" s="8">
        <v>107</v>
      </c>
    </row>
    <row r="58" spans="2:2" x14ac:dyDescent="0.3">
      <c r="B58" s="8">
        <v>84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057C-0333-45A4-B65F-319CF118218B}">
  <sheetPr codeName="Sheet6">
    <tabColor theme="4" tint="0.59999389629810485"/>
  </sheetPr>
  <dimension ref="B1:B100"/>
  <sheetViews>
    <sheetView showGridLines="0" workbookViewId="0">
      <selection activeCell="O14" sqref="O14"/>
    </sheetView>
  </sheetViews>
  <sheetFormatPr defaultRowHeight="14.4" x14ac:dyDescent="0.3"/>
  <cols>
    <col min="1" max="1" width="2.88671875" customWidth="1"/>
    <col min="2" max="2" width="11.33203125" customWidth="1"/>
    <col min="4" max="4" width="13.109375" bestFit="1" customWidth="1"/>
    <col min="5" max="5" width="19.44140625" bestFit="1" customWidth="1"/>
  </cols>
  <sheetData>
    <row r="1" spans="2:2" ht="25.5" customHeight="1" x14ac:dyDescent="0.35">
      <c r="B1" s="17" t="s">
        <v>108</v>
      </c>
    </row>
    <row r="2" spans="2:2" ht="15" customHeight="1" x14ac:dyDescent="0.3">
      <c r="B2" s="27" t="s">
        <v>252</v>
      </c>
    </row>
    <row r="3" spans="2:2" ht="18" customHeight="1" x14ac:dyDescent="0.3"/>
    <row r="5" spans="2:2" x14ac:dyDescent="0.3">
      <c r="B5" s="7" t="s">
        <v>69</v>
      </c>
    </row>
    <row r="6" spans="2:2" x14ac:dyDescent="0.3">
      <c r="B6" s="8">
        <v>90.2</v>
      </c>
    </row>
    <row r="7" spans="2:2" x14ac:dyDescent="0.3">
      <c r="B7" s="8">
        <v>92.8</v>
      </c>
    </row>
    <row r="8" spans="2:2" x14ac:dyDescent="0.3">
      <c r="B8" s="8">
        <v>68.7</v>
      </c>
    </row>
    <row r="9" spans="2:2" x14ac:dyDescent="0.3">
      <c r="B9" s="8">
        <v>80.7</v>
      </c>
    </row>
    <row r="10" spans="2:2" x14ac:dyDescent="0.3">
      <c r="B10" s="8">
        <v>74.900000000000006</v>
      </c>
    </row>
    <row r="11" spans="2:2" x14ac:dyDescent="0.3">
      <c r="B11" s="8">
        <v>80.7</v>
      </c>
    </row>
    <row r="12" spans="2:2" x14ac:dyDescent="0.3">
      <c r="B12" s="8">
        <v>83.3</v>
      </c>
    </row>
    <row r="13" spans="2:2" x14ac:dyDescent="0.3">
      <c r="B13" s="8">
        <v>88.7</v>
      </c>
    </row>
    <row r="14" spans="2:2" x14ac:dyDescent="0.3">
      <c r="B14" s="8">
        <v>75.400000000000006</v>
      </c>
    </row>
    <row r="15" spans="2:2" x14ac:dyDescent="0.3">
      <c r="B15" s="8">
        <v>82.1</v>
      </c>
    </row>
    <row r="16" spans="2:2" x14ac:dyDescent="0.3">
      <c r="B16" s="8">
        <v>87.5</v>
      </c>
    </row>
    <row r="17" spans="2:2" x14ac:dyDescent="0.3">
      <c r="B17" s="8">
        <v>66.900000000000006</v>
      </c>
    </row>
    <row r="18" spans="2:2" x14ac:dyDescent="0.3">
      <c r="B18" s="8">
        <v>71.3</v>
      </c>
    </row>
    <row r="19" spans="2:2" x14ac:dyDescent="0.3">
      <c r="B19" s="8">
        <v>76.8</v>
      </c>
    </row>
    <row r="20" spans="2:2" x14ac:dyDescent="0.3">
      <c r="B20" s="8">
        <v>72.3</v>
      </c>
    </row>
    <row r="21" spans="2:2" x14ac:dyDescent="0.3">
      <c r="B21" s="8">
        <v>72.400000000000006</v>
      </c>
    </row>
    <row r="22" spans="2:2" x14ac:dyDescent="0.3">
      <c r="B22" s="8">
        <v>72</v>
      </c>
    </row>
    <row r="23" spans="2:2" x14ac:dyDescent="0.3">
      <c r="B23" s="8">
        <v>81</v>
      </c>
    </row>
    <row r="24" spans="2:2" x14ac:dyDescent="0.3">
      <c r="B24" s="8">
        <v>96.1</v>
      </c>
    </row>
    <row r="25" spans="2:2" x14ac:dyDescent="0.3">
      <c r="B25" s="8">
        <v>76.7</v>
      </c>
    </row>
    <row r="26" spans="2:2" x14ac:dyDescent="0.3">
      <c r="B26" s="8">
        <v>80.3</v>
      </c>
    </row>
    <row r="27" spans="2:2" x14ac:dyDescent="0.3">
      <c r="B27" s="8">
        <v>77.8</v>
      </c>
    </row>
    <row r="28" spans="2:2" x14ac:dyDescent="0.3">
      <c r="B28" s="8">
        <v>62.6</v>
      </c>
    </row>
    <row r="29" spans="2:2" x14ac:dyDescent="0.3">
      <c r="B29" s="8">
        <v>80.2</v>
      </c>
    </row>
    <row r="30" spans="2:2" x14ac:dyDescent="0.3">
      <c r="B30" s="8">
        <v>79.099999999999994</v>
      </c>
    </row>
    <row r="31" spans="2:2" x14ac:dyDescent="0.3">
      <c r="B31" s="8">
        <v>77.8</v>
      </c>
    </row>
    <row r="32" spans="2:2" x14ac:dyDescent="0.3">
      <c r="B32" s="8">
        <v>75.099999999999994</v>
      </c>
    </row>
    <row r="33" spans="2:2" x14ac:dyDescent="0.3">
      <c r="B33" s="8">
        <v>82.2</v>
      </c>
    </row>
    <row r="34" spans="2:2" x14ac:dyDescent="0.3">
      <c r="B34" s="8">
        <v>70.5</v>
      </c>
    </row>
    <row r="35" spans="2:2" x14ac:dyDescent="0.3">
      <c r="B35" s="8">
        <v>70.8</v>
      </c>
    </row>
    <row r="36" spans="2:2" x14ac:dyDescent="0.3">
      <c r="B36" s="8">
        <v>87.5</v>
      </c>
    </row>
    <row r="37" spans="2:2" x14ac:dyDescent="0.3">
      <c r="B37" s="8">
        <v>79.5</v>
      </c>
    </row>
    <row r="38" spans="2:2" x14ac:dyDescent="0.3">
      <c r="B38" s="8">
        <v>80.8</v>
      </c>
    </row>
    <row r="39" spans="2:2" x14ac:dyDescent="0.3">
      <c r="B39" s="8">
        <v>79.599999999999994</v>
      </c>
    </row>
    <row r="40" spans="2:2" x14ac:dyDescent="0.3">
      <c r="B40" s="8">
        <v>88.9</v>
      </c>
    </row>
    <row r="41" spans="2:2" x14ac:dyDescent="0.3">
      <c r="B41" s="8">
        <v>85.9</v>
      </c>
    </row>
    <row r="42" spans="2:2" x14ac:dyDescent="0.3">
      <c r="B42" s="8">
        <v>82.3</v>
      </c>
    </row>
    <row r="43" spans="2:2" x14ac:dyDescent="0.3">
      <c r="B43" s="8">
        <v>76.7</v>
      </c>
    </row>
    <row r="44" spans="2:2" x14ac:dyDescent="0.3">
      <c r="B44" s="8">
        <v>79.900000000000006</v>
      </c>
    </row>
    <row r="45" spans="2:2" x14ac:dyDescent="0.3">
      <c r="B45" s="8">
        <v>86.2</v>
      </c>
    </row>
    <row r="46" spans="2:2" x14ac:dyDescent="0.3">
      <c r="B46" s="8">
        <v>79.2</v>
      </c>
    </row>
    <row r="47" spans="2:2" x14ac:dyDescent="0.3">
      <c r="B47" s="8">
        <v>83.4</v>
      </c>
    </row>
    <row r="48" spans="2:2" x14ac:dyDescent="0.3">
      <c r="B48" s="8">
        <v>85.2</v>
      </c>
    </row>
    <row r="49" spans="2:2" x14ac:dyDescent="0.3">
      <c r="B49" s="8">
        <v>77.8</v>
      </c>
    </row>
    <row r="50" spans="2:2" x14ac:dyDescent="0.3">
      <c r="B50" s="8">
        <v>80.2</v>
      </c>
    </row>
    <row r="51" spans="2:2" x14ac:dyDescent="0.3">
      <c r="B51" s="8">
        <v>71</v>
      </c>
    </row>
    <row r="52" spans="2:2" x14ac:dyDescent="0.3">
      <c r="B52" s="8">
        <v>87.2</v>
      </c>
    </row>
    <row r="53" spans="2:2" x14ac:dyDescent="0.3">
      <c r="B53" s="8">
        <v>82.9</v>
      </c>
    </row>
    <row r="54" spans="2:2" x14ac:dyDescent="0.3">
      <c r="B54" s="8">
        <v>73.5</v>
      </c>
    </row>
    <row r="55" spans="2:2" x14ac:dyDescent="0.3">
      <c r="B55" s="8">
        <v>74.599999999999994</v>
      </c>
    </row>
    <row r="56" spans="2:2" x14ac:dyDescent="0.3">
      <c r="B56" s="8">
        <v>75.099999999999994</v>
      </c>
    </row>
    <row r="57" spans="2:2" x14ac:dyDescent="0.3">
      <c r="B57" s="8">
        <v>85.1</v>
      </c>
    </row>
    <row r="58" spans="2:2" x14ac:dyDescent="0.3">
      <c r="B58" s="8">
        <v>74.900000000000006</v>
      </c>
    </row>
    <row r="59" spans="2:2" x14ac:dyDescent="0.3">
      <c r="B59" s="8">
        <v>84.6</v>
      </c>
    </row>
    <row r="60" spans="2:2" x14ac:dyDescent="0.3">
      <c r="B60" s="8">
        <v>81.7</v>
      </c>
    </row>
    <row r="61" spans="2:2" x14ac:dyDescent="0.3">
      <c r="B61" s="8">
        <v>81.400000000000006</v>
      </c>
    </row>
    <row r="62" spans="2:2" x14ac:dyDescent="0.3">
      <c r="B62" s="8">
        <v>83.8</v>
      </c>
    </row>
    <row r="63" spans="2:2" x14ac:dyDescent="0.3">
      <c r="B63" s="8">
        <v>88.5</v>
      </c>
    </row>
    <row r="64" spans="2:2" x14ac:dyDescent="0.3">
      <c r="B64" s="8">
        <v>84.9</v>
      </c>
    </row>
    <row r="65" spans="2:2" x14ac:dyDescent="0.3">
      <c r="B65" s="8">
        <v>84.3</v>
      </c>
    </row>
    <row r="66" spans="2:2" x14ac:dyDescent="0.3">
      <c r="B66" s="8">
        <v>78.2</v>
      </c>
    </row>
    <row r="67" spans="2:2" x14ac:dyDescent="0.3">
      <c r="B67" s="8">
        <v>80</v>
      </c>
    </row>
    <row r="68" spans="2:2" x14ac:dyDescent="0.3">
      <c r="B68" s="8">
        <v>74.8</v>
      </c>
    </row>
    <row r="69" spans="2:2" x14ac:dyDescent="0.3">
      <c r="B69" s="8">
        <v>78.5</v>
      </c>
    </row>
    <row r="70" spans="2:2" x14ac:dyDescent="0.3">
      <c r="B70" s="8">
        <v>71.8</v>
      </c>
    </row>
    <row r="71" spans="2:2" x14ac:dyDescent="0.3">
      <c r="B71" s="8">
        <v>69.900000000000006</v>
      </c>
    </row>
    <row r="72" spans="2:2" x14ac:dyDescent="0.3">
      <c r="B72" s="8">
        <v>82.7</v>
      </c>
    </row>
    <row r="73" spans="2:2" x14ac:dyDescent="0.3">
      <c r="B73" s="8">
        <v>74</v>
      </c>
    </row>
    <row r="74" spans="2:2" x14ac:dyDescent="0.3">
      <c r="B74" s="8">
        <v>84</v>
      </c>
    </row>
    <row r="75" spans="2:2" x14ac:dyDescent="0.3">
      <c r="B75" s="8">
        <v>84.7</v>
      </c>
    </row>
    <row r="76" spans="2:2" x14ac:dyDescent="0.3">
      <c r="B76" s="8">
        <v>78.2</v>
      </c>
    </row>
    <row r="77" spans="2:2" x14ac:dyDescent="0.3">
      <c r="B77" s="8">
        <v>85</v>
      </c>
    </row>
    <row r="78" spans="2:2" x14ac:dyDescent="0.3">
      <c r="B78" s="8">
        <v>80.099999999999994</v>
      </c>
    </row>
    <row r="79" spans="2:2" x14ac:dyDescent="0.3">
      <c r="B79" s="8">
        <v>85.3</v>
      </c>
    </row>
    <row r="80" spans="2:2" x14ac:dyDescent="0.3">
      <c r="B80" s="8">
        <v>79.7</v>
      </c>
    </row>
    <row r="81" spans="2:2" x14ac:dyDescent="0.3">
      <c r="B81" s="8">
        <v>79.599999999999994</v>
      </c>
    </row>
    <row r="82" spans="2:2" x14ac:dyDescent="0.3">
      <c r="B82" s="8">
        <v>78.900000000000006</v>
      </c>
    </row>
    <row r="83" spans="2:2" x14ac:dyDescent="0.3">
      <c r="B83" s="8">
        <v>78.5</v>
      </c>
    </row>
    <row r="84" spans="2:2" x14ac:dyDescent="0.3">
      <c r="B84" s="8">
        <v>72</v>
      </c>
    </row>
    <row r="85" spans="2:2" x14ac:dyDescent="0.3">
      <c r="B85" s="8">
        <v>74.2</v>
      </c>
    </row>
    <row r="86" spans="2:2" x14ac:dyDescent="0.3">
      <c r="B86" s="8">
        <v>71.7</v>
      </c>
    </row>
    <row r="87" spans="2:2" x14ac:dyDescent="0.3">
      <c r="B87" s="8">
        <v>80.7</v>
      </c>
    </row>
    <row r="88" spans="2:2" x14ac:dyDescent="0.3">
      <c r="B88" s="8">
        <v>84.1</v>
      </c>
    </row>
    <row r="89" spans="2:2" x14ac:dyDescent="0.3">
      <c r="B89" s="8">
        <v>87.4</v>
      </c>
    </row>
    <row r="90" spans="2:2" x14ac:dyDescent="0.3">
      <c r="B90" s="8">
        <v>77.400000000000006</v>
      </c>
    </row>
    <row r="91" spans="2:2" x14ac:dyDescent="0.3">
      <c r="B91" s="8">
        <v>84.7</v>
      </c>
    </row>
    <row r="92" spans="2:2" x14ac:dyDescent="0.3">
      <c r="B92" s="8">
        <v>78.8</v>
      </c>
    </row>
    <row r="93" spans="2:2" x14ac:dyDescent="0.3">
      <c r="B93" s="8">
        <v>92.7</v>
      </c>
    </row>
    <row r="94" spans="2:2" x14ac:dyDescent="0.3">
      <c r="B94" s="8">
        <v>88.8</v>
      </c>
    </row>
    <row r="95" spans="2:2" x14ac:dyDescent="0.3">
      <c r="B95" s="8">
        <v>86.6</v>
      </c>
    </row>
    <row r="96" spans="2:2" x14ac:dyDescent="0.3">
      <c r="B96" s="8">
        <v>77.900000000000006</v>
      </c>
    </row>
    <row r="97" spans="2:2" x14ac:dyDescent="0.3">
      <c r="B97" s="8">
        <v>86.1</v>
      </c>
    </row>
    <row r="98" spans="2:2" x14ac:dyDescent="0.3">
      <c r="B98" s="8">
        <v>89.9</v>
      </c>
    </row>
    <row r="99" spans="2:2" x14ac:dyDescent="0.3">
      <c r="B99" s="8">
        <v>83.1</v>
      </c>
    </row>
    <row r="100" spans="2:2" x14ac:dyDescent="0.3">
      <c r="B100" s="8">
        <v>82.6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FD47F-01CD-4B91-8FD9-7D3A4D2A2CC2}">
  <sheetPr codeName="Sheet7">
    <tabColor theme="4" tint="0.79998168889431442"/>
  </sheetPr>
  <dimension ref="B1:N58"/>
  <sheetViews>
    <sheetView showGridLines="0" workbookViewId="0">
      <selection activeCell="L4" sqref="L4"/>
    </sheetView>
  </sheetViews>
  <sheetFormatPr defaultRowHeight="14.4" x14ac:dyDescent="0.3"/>
  <cols>
    <col min="1" max="1" width="2.88671875" customWidth="1"/>
    <col min="2" max="2" width="16.33203125" bestFit="1" customWidth="1"/>
    <col min="3" max="3" width="13.109375" bestFit="1" customWidth="1"/>
    <col min="6" max="6" width="14.33203125" customWidth="1"/>
    <col min="8" max="8" width="14.33203125" customWidth="1"/>
    <col min="9" max="9" width="9" bestFit="1" customWidth="1"/>
    <col min="10" max="10" width="14.33203125" customWidth="1"/>
    <col min="12" max="14" width="14.33203125" customWidth="1"/>
  </cols>
  <sheetData>
    <row r="1" spans="2:14" ht="25.5" customHeight="1" x14ac:dyDescent="0.35">
      <c r="B1" s="17" t="s">
        <v>109</v>
      </c>
    </row>
    <row r="2" spans="2:14" ht="15" customHeight="1" x14ac:dyDescent="0.3">
      <c r="B2" s="27" t="s">
        <v>253</v>
      </c>
    </row>
    <row r="3" spans="2:14" ht="18" customHeight="1" x14ac:dyDescent="0.3"/>
    <row r="4" spans="2:14" x14ac:dyDescent="0.3">
      <c r="E4" s="3"/>
      <c r="H4" s="3"/>
      <c r="L4" s="3"/>
    </row>
    <row r="5" spans="2:14" x14ac:dyDescent="0.3">
      <c r="B5" s="7" t="s">
        <v>20</v>
      </c>
      <c r="C5" s="7" t="s">
        <v>30</v>
      </c>
      <c r="E5" s="108" t="s">
        <v>46</v>
      </c>
      <c r="F5" s="108"/>
      <c r="H5" s="108" t="s">
        <v>49</v>
      </c>
      <c r="I5" s="108"/>
      <c r="J5" s="108"/>
      <c r="L5" s="109" t="s">
        <v>49</v>
      </c>
      <c r="M5" s="109"/>
      <c r="N5" s="109"/>
    </row>
    <row r="6" spans="2:14" x14ac:dyDescent="0.3">
      <c r="B6" s="8" t="s">
        <v>24</v>
      </c>
      <c r="C6" s="12">
        <v>111000</v>
      </c>
      <c r="E6" s="19" t="s">
        <v>41</v>
      </c>
      <c r="F6" s="63">
        <f>AVERAGE(C6:C58)</f>
        <v>119386.7924528302</v>
      </c>
      <c r="I6" s="16" t="s">
        <v>26</v>
      </c>
      <c r="J6" s="16" t="s">
        <v>24</v>
      </c>
      <c r="M6" s="16" t="s">
        <v>26</v>
      </c>
      <c r="N6" s="16" t="s">
        <v>24</v>
      </c>
    </row>
    <row r="7" spans="2:14" x14ac:dyDescent="0.3">
      <c r="B7" s="8" t="s">
        <v>26</v>
      </c>
      <c r="C7" s="12">
        <v>107000</v>
      </c>
      <c r="E7" s="19" t="s">
        <v>42</v>
      </c>
      <c r="F7" s="63">
        <f>MEDIAN(C6:C58)</f>
        <v>104500</v>
      </c>
      <c r="H7" s="19" t="s">
        <v>41</v>
      </c>
      <c r="I7" s="63">
        <f>AVERAGEIFS($C$6:$C$58,$B$6:$B$58,I6)</f>
        <v>124647.05882352941</v>
      </c>
      <c r="J7" s="63">
        <f>AVERAGEIFS($C$6:$C$58,$B$6:$B$58,J6)</f>
        <v>116902.77777777778</v>
      </c>
      <c r="L7" s="19" t="s">
        <v>41</v>
      </c>
      <c r="M7" s="63" cm="1">
        <f t="array" ref="M7:N7">AVERAGEIFS(C6:C58,B6:B58,M6:N6)</f>
        <v>124647.05882352941</v>
      </c>
      <c r="N7" s="63">
        <v>116902.77777777778</v>
      </c>
    </row>
    <row r="8" spans="2:14" x14ac:dyDescent="0.3">
      <c r="B8" s="8" t="s">
        <v>24</v>
      </c>
      <c r="C8" s="12">
        <v>109000</v>
      </c>
      <c r="E8" s="19" t="s">
        <v>43</v>
      </c>
      <c r="F8" s="63">
        <f>_xlfn.MODE.SNGL(C6:C58)</f>
        <v>103500</v>
      </c>
      <c r="H8" s="19" t="s">
        <v>42</v>
      </c>
      <c r="I8" s="63" cm="1">
        <f t="array" ref="I8">MEDIAN(IF($B$6:$B$58=I6,$C$6:$C$58))</f>
        <v>103500</v>
      </c>
      <c r="J8" s="63" cm="1">
        <f t="array" ref="J8">MEDIAN(IF($B$6:$B$58=J6,$C$6:$C$58))</f>
        <v>105750</v>
      </c>
      <c r="L8" s="19" t="s">
        <v>42</v>
      </c>
      <c r="M8" s="63" cm="1">
        <f t="array" ref="M8">MEDIAN(_xlfn._xlws.FILTER($C$6:$C$58,$B$6:$B$58=M6))</f>
        <v>103500</v>
      </c>
      <c r="N8" s="63" cm="1">
        <f t="array" ref="N8">MEDIAN(_xlfn._xlws.FILTER($C$6:$C$58,$B$6:$B$58=N6))</f>
        <v>105750</v>
      </c>
    </row>
    <row r="9" spans="2:14" x14ac:dyDescent="0.3">
      <c r="B9" s="8" t="s">
        <v>24</v>
      </c>
      <c r="C9" s="12">
        <v>148000</v>
      </c>
      <c r="H9" s="19" t="s">
        <v>43</v>
      </c>
      <c r="I9" s="63" cm="1">
        <f t="array" ref="I9">_xlfn.MODE.SNGL(IF($B$6:$B$58=I6,$C$6:$C$58))</f>
        <v>99000</v>
      </c>
      <c r="J9" s="63" cm="1">
        <f t="array" ref="J9">_xlfn.MODE.SNGL(IF($B$6:$B$58=J6,$C$6:$C$58))</f>
        <v>103500</v>
      </c>
      <c r="L9" s="19" t="s">
        <v>45</v>
      </c>
      <c r="M9" s="63" cm="1">
        <f t="array" ref="M9:M12">_xlfn.MODE.MULT(_xlfn._xlws.FILTER($C$6:$C$58,$B$6:$B$58=M6))</f>
        <v>99000</v>
      </c>
      <c r="N9" s="63" cm="1">
        <f t="array" ref="N9">MODE(_xlfn._xlws.FILTER($C$6:$C$58,$B$6:$B$58=N6))</f>
        <v>103500</v>
      </c>
    </row>
    <row r="10" spans="2:14" x14ac:dyDescent="0.3">
      <c r="B10" s="8" t="s">
        <v>24</v>
      </c>
      <c r="C10" s="12">
        <v>255500</v>
      </c>
      <c r="M10" s="18">
        <v>99500</v>
      </c>
    </row>
    <row r="11" spans="2:14" x14ac:dyDescent="0.3">
      <c r="B11" s="8" t="s">
        <v>24</v>
      </c>
      <c r="C11" s="12">
        <v>103500</v>
      </c>
      <c r="M11" s="18">
        <v>103500</v>
      </c>
    </row>
    <row r="12" spans="2:14" x14ac:dyDescent="0.3">
      <c r="B12" s="8" t="s">
        <v>24</v>
      </c>
      <c r="C12" s="12">
        <v>114500</v>
      </c>
      <c r="M12" s="18">
        <v>124500</v>
      </c>
    </row>
    <row r="13" spans="2:14" x14ac:dyDescent="0.3">
      <c r="B13" s="8" t="s">
        <v>24</v>
      </c>
      <c r="C13" s="12">
        <v>124000</v>
      </c>
    </row>
    <row r="14" spans="2:14" x14ac:dyDescent="0.3">
      <c r="B14" s="8" t="s">
        <v>24</v>
      </c>
      <c r="C14" s="12">
        <v>132500</v>
      </c>
    </row>
    <row r="15" spans="2:14" x14ac:dyDescent="0.3">
      <c r="B15" s="8" t="s">
        <v>24</v>
      </c>
      <c r="C15" s="12">
        <v>99000</v>
      </c>
    </row>
    <row r="16" spans="2:14" x14ac:dyDescent="0.3">
      <c r="B16" s="8" t="s">
        <v>24</v>
      </c>
      <c r="C16" s="12">
        <v>124000</v>
      </c>
    </row>
    <row r="17" spans="2:3" x14ac:dyDescent="0.3">
      <c r="B17" s="8" t="s">
        <v>24</v>
      </c>
      <c r="C17" s="12">
        <v>82000</v>
      </c>
    </row>
    <row r="18" spans="2:3" x14ac:dyDescent="0.3">
      <c r="B18" s="8" t="s">
        <v>24</v>
      </c>
      <c r="C18" s="12">
        <v>185000</v>
      </c>
    </row>
    <row r="19" spans="2:3" x14ac:dyDescent="0.3">
      <c r="B19" s="8" t="s">
        <v>24</v>
      </c>
      <c r="C19" s="12">
        <v>89500</v>
      </c>
    </row>
    <row r="20" spans="2:3" x14ac:dyDescent="0.3">
      <c r="B20" s="8" t="s">
        <v>24</v>
      </c>
      <c r="C20" s="12">
        <v>91500</v>
      </c>
    </row>
    <row r="21" spans="2:3" x14ac:dyDescent="0.3">
      <c r="B21" s="8" t="s">
        <v>24</v>
      </c>
      <c r="C21" s="12">
        <v>113500</v>
      </c>
    </row>
    <row r="22" spans="2:3" x14ac:dyDescent="0.3">
      <c r="B22" s="8" t="s">
        <v>26</v>
      </c>
      <c r="C22" s="12">
        <v>99000</v>
      </c>
    </row>
    <row r="23" spans="2:3" x14ac:dyDescent="0.3">
      <c r="B23" s="8" t="s">
        <v>24</v>
      </c>
      <c r="C23" s="12">
        <v>75500</v>
      </c>
    </row>
    <row r="24" spans="2:3" x14ac:dyDescent="0.3">
      <c r="B24" s="8" t="s">
        <v>26</v>
      </c>
      <c r="C24" s="12">
        <v>86000</v>
      </c>
    </row>
    <row r="25" spans="2:3" x14ac:dyDescent="0.3">
      <c r="B25" s="8" t="s">
        <v>24</v>
      </c>
      <c r="C25" s="12">
        <v>156500</v>
      </c>
    </row>
    <row r="26" spans="2:3" x14ac:dyDescent="0.3">
      <c r="B26" s="8" t="s">
        <v>26</v>
      </c>
      <c r="C26" s="12">
        <v>99500</v>
      </c>
    </row>
    <row r="27" spans="2:3" x14ac:dyDescent="0.3">
      <c r="B27" s="8" t="s">
        <v>26</v>
      </c>
      <c r="C27" s="12">
        <v>148000</v>
      </c>
    </row>
    <row r="28" spans="2:3" x14ac:dyDescent="0.3">
      <c r="B28" s="8" t="s">
        <v>24</v>
      </c>
      <c r="C28" s="12">
        <v>82000</v>
      </c>
    </row>
    <row r="29" spans="2:3" x14ac:dyDescent="0.3">
      <c r="B29" s="8" t="s">
        <v>24</v>
      </c>
      <c r="C29" s="12">
        <v>103500</v>
      </c>
    </row>
    <row r="30" spans="2:3" x14ac:dyDescent="0.3">
      <c r="B30" s="8" t="s">
        <v>24</v>
      </c>
      <c r="C30" s="12">
        <v>205500</v>
      </c>
    </row>
    <row r="31" spans="2:3" x14ac:dyDescent="0.3">
      <c r="B31" s="8" t="s">
        <v>24</v>
      </c>
      <c r="C31" s="12">
        <v>103500</v>
      </c>
    </row>
    <row r="32" spans="2:3" x14ac:dyDescent="0.3">
      <c r="B32" s="8" t="s">
        <v>26</v>
      </c>
      <c r="C32" s="12">
        <v>340000</v>
      </c>
    </row>
    <row r="33" spans="2:3" x14ac:dyDescent="0.3">
      <c r="B33" s="8" t="s">
        <v>26</v>
      </c>
      <c r="C33" s="12">
        <v>103500</v>
      </c>
    </row>
    <row r="34" spans="2:3" x14ac:dyDescent="0.3">
      <c r="B34" s="8" t="s">
        <v>26</v>
      </c>
      <c r="C34" s="12">
        <v>99500</v>
      </c>
    </row>
    <row r="35" spans="2:3" x14ac:dyDescent="0.3">
      <c r="B35" s="8" t="s">
        <v>26</v>
      </c>
      <c r="C35" s="12">
        <v>103000</v>
      </c>
    </row>
    <row r="36" spans="2:3" x14ac:dyDescent="0.3">
      <c r="B36" s="8" t="s">
        <v>24</v>
      </c>
      <c r="C36" s="12">
        <v>103500</v>
      </c>
    </row>
    <row r="37" spans="2:3" x14ac:dyDescent="0.3">
      <c r="B37" s="8" t="s">
        <v>26</v>
      </c>
      <c r="C37" s="12">
        <v>165000</v>
      </c>
    </row>
    <row r="38" spans="2:3" x14ac:dyDescent="0.3">
      <c r="B38" s="8" t="s">
        <v>26</v>
      </c>
      <c r="C38" s="12">
        <v>124500</v>
      </c>
    </row>
    <row r="39" spans="2:3" x14ac:dyDescent="0.3">
      <c r="B39" s="8" t="s">
        <v>26</v>
      </c>
      <c r="C39" s="12">
        <v>103500</v>
      </c>
    </row>
    <row r="40" spans="2:3" x14ac:dyDescent="0.3">
      <c r="B40" s="8" t="s">
        <v>24</v>
      </c>
      <c r="C40" s="12">
        <v>82500</v>
      </c>
    </row>
    <row r="41" spans="2:3" x14ac:dyDescent="0.3">
      <c r="B41" s="8" t="s">
        <v>24</v>
      </c>
      <c r="C41" s="12">
        <v>93000</v>
      </c>
    </row>
    <row r="42" spans="2:3" x14ac:dyDescent="0.3">
      <c r="B42" s="8" t="s">
        <v>24</v>
      </c>
      <c r="C42" s="12">
        <v>168000</v>
      </c>
    </row>
    <row r="43" spans="2:3" x14ac:dyDescent="0.3">
      <c r="B43" s="8" t="s">
        <v>24</v>
      </c>
      <c r="C43" s="12">
        <v>96000</v>
      </c>
    </row>
    <row r="44" spans="2:3" x14ac:dyDescent="0.3">
      <c r="B44" s="8" t="s">
        <v>26</v>
      </c>
      <c r="C44" s="12">
        <v>80000</v>
      </c>
    </row>
    <row r="45" spans="2:3" x14ac:dyDescent="0.3">
      <c r="B45" s="8" t="s">
        <v>26</v>
      </c>
      <c r="C45" s="12">
        <v>124500</v>
      </c>
    </row>
    <row r="46" spans="2:3" x14ac:dyDescent="0.3">
      <c r="B46" s="8" t="s">
        <v>26</v>
      </c>
      <c r="C46" s="12">
        <v>99000</v>
      </c>
    </row>
    <row r="47" spans="2:3" x14ac:dyDescent="0.3">
      <c r="B47" s="8" t="s">
        <v>24</v>
      </c>
      <c r="C47" s="12">
        <v>124000</v>
      </c>
    </row>
    <row r="48" spans="2:3" x14ac:dyDescent="0.3">
      <c r="B48" s="8" t="s">
        <v>24</v>
      </c>
      <c r="C48" s="12">
        <v>91500</v>
      </c>
    </row>
    <row r="49" spans="2:3" x14ac:dyDescent="0.3">
      <c r="B49" s="8" t="s">
        <v>24</v>
      </c>
      <c r="C49" s="12">
        <v>144500</v>
      </c>
    </row>
    <row r="50" spans="2:3" x14ac:dyDescent="0.3">
      <c r="B50" s="8" t="s">
        <v>24</v>
      </c>
      <c r="C50" s="12">
        <v>114500</v>
      </c>
    </row>
    <row r="51" spans="2:3" x14ac:dyDescent="0.3">
      <c r="B51" s="8" t="s">
        <v>24</v>
      </c>
      <c r="C51" s="12">
        <v>104500</v>
      </c>
    </row>
    <row r="52" spans="2:3" x14ac:dyDescent="0.3">
      <c r="B52" s="8" t="s">
        <v>26</v>
      </c>
      <c r="C52" s="12">
        <v>124000</v>
      </c>
    </row>
    <row r="53" spans="2:3" x14ac:dyDescent="0.3">
      <c r="B53" s="8" t="s">
        <v>26</v>
      </c>
      <c r="C53" s="12">
        <v>113000</v>
      </c>
    </row>
    <row r="54" spans="2:3" x14ac:dyDescent="0.3">
      <c r="B54" s="8" t="s">
        <v>24</v>
      </c>
      <c r="C54" s="12">
        <v>78000</v>
      </c>
    </row>
    <row r="55" spans="2:3" x14ac:dyDescent="0.3">
      <c r="B55" s="8" t="s">
        <v>24</v>
      </c>
      <c r="C55" s="12">
        <v>109000</v>
      </c>
    </row>
    <row r="56" spans="2:3" x14ac:dyDescent="0.3">
      <c r="B56" s="8" t="s">
        <v>24</v>
      </c>
      <c r="C56" s="12">
        <v>99500</v>
      </c>
    </row>
    <row r="57" spans="2:3" x14ac:dyDescent="0.3">
      <c r="B57" s="8" t="s">
        <v>24</v>
      </c>
      <c r="C57" s="12">
        <v>107000</v>
      </c>
    </row>
    <row r="58" spans="2:3" x14ac:dyDescent="0.3">
      <c r="B58" s="8" t="s">
        <v>24</v>
      </c>
      <c r="C58" s="12">
        <v>84000</v>
      </c>
    </row>
  </sheetData>
  <mergeCells count="3">
    <mergeCell ref="E5:F5"/>
    <mergeCell ref="H5:J5"/>
    <mergeCell ref="L5:N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AA6FE-89EE-48B0-BC7E-BC9038A93211}">
  <sheetPr codeName="Sheet8">
    <tabColor theme="4" tint="0.79998168889431442"/>
  </sheetPr>
  <dimension ref="B1:E58"/>
  <sheetViews>
    <sheetView showGridLines="0" workbookViewId="0">
      <selection activeCell="D4" sqref="D4"/>
    </sheetView>
  </sheetViews>
  <sheetFormatPr defaultRowHeight="14.4" x14ac:dyDescent="0.3"/>
  <cols>
    <col min="1" max="1" width="2.88671875" customWidth="1"/>
    <col min="2" max="2" width="13.109375" bestFit="1" customWidth="1"/>
    <col min="5" max="5" width="14.33203125" customWidth="1"/>
  </cols>
  <sheetData>
    <row r="1" spans="2:5" ht="25.5" customHeight="1" x14ac:dyDescent="0.35">
      <c r="B1" s="17" t="s">
        <v>110</v>
      </c>
    </row>
    <row r="2" spans="2:5" ht="15" customHeight="1" x14ac:dyDescent="0.3">
      <c r="B2" s="27" t="s">
        <v>5</v>
      </c>
    </row>
    <row r="3" spans="2:5" ht="18" customHeight="1" x14ac:dyDescent="0.3"/>
    <row r="4" spans="2:5" x14ac:dyDescent="0.3">
      <c r="D4" s="3"/>
    </row>
    <row r="5" spans="2:5" x14ac:dyDescent="0.3">
      <c r="B5" s="7" t="s">
        <v>30</v>
      </c>
      <c r="D5" s="108" t="s">
        <v>46</v>
      </c>
      <c r="E5" s="108"/>
    </row>
    <row r="6" spans="2:5" x14ac:dyDescent="0.3">
      <c r="B6" s="12">
        <v>111000</v>
      </c>
      <c r="D6" s="19" t="s">
        <v>41</v>
      </c>
      <c r="E6" s="63">
        <f>AVERAGE(B6:B58)</f>
        <v>119386.7924528302</v>
      </c>
    </row>
    <row r="7" spans="2:5" x14ac:dyDescent="0.3">
      <c r="B7" s="12">
        <v>107000</v>
      </c>
      <c r="D7" s="19" t="s">
        <v>42</v>
      </c>
      <c r="E7" s="63">
        <f>MEDIAN(B6:B58)</f>
        <v>104500</v>
      </c>
    </row>
    <row r="8" spans="2:5" x14ac:dyDescent="0.3">
      <c r="B8" s="12">
        <v>109000</v>
      </c>
      <c r="D8" s="19" t="s">
        <v>44</v>
      </c>
      <c r="E8" s="69">
        <f>SKEW(B6:B58)</f>
        <v>2.9324340018176889</v>
      </c>
    </row>
    <row r="9" spans="2:5" x14ac:dyDescent="0.3">
      <c r="B9" s="12">
        <v>148000</v>
      </c>
    </row>
    <row r="10" spans="2:5" x14ac:dyDescent="0.3">
      <c r="B10" s="12">
        <v>255500</v>
      </c>
    </row>
    <row r="11" spans="2:5" x14ac:dyDescent="0.3">
      <c r="B11" s="12">
        <v>103500</v>
      </c>
    </row>
    <row r="12" spans="2:5" x14ac:dyDescent="0.3">
      <c r="B12" s="12">
        <v>114500</v>
      </c>
    </row>
    <row r="13" spans="2:5" x14ac:dyDescent="0.3">
      <c r="B13" s="12">
        <v>124000</v>
      </c>
    </row>
    <row r="14" spans="2:5" x14ac:dyDescent="0.3">
      <c r="B14" s="12">
        <v>132500</v>
      </c>
    </row>
    <row r="15" spans="2:5" x14ac:dyDescent="0.3">
      <c r="B15" s="12">
        <v>99000</v>
      </c>
    </row>
    <row r="16" spans="2:5" x14ac:dyDescent="0.3">
      <c r="B16" s="12">
        <v>124000</v>
      </c>
    </row>
    <row r="17" spans="2:2" x14ac:dyDescent="0.3">
      <c r="B17" s="12">
        <v>82000</v>
      </c>
    </row>
    <row r="18" spans="2:2" x14ac:dyDescent="0.3">
      <c r="B18" s="12">
        <v>185000</v>
      </c>
    </row>
    <row r="19" spans="2:2" x14ac:dyDescent="0.3">
      <c r="B19" s="12">
        <v>89500</v>
      </c>
    </row>
    <row r="20" spans="2:2" x14ac:dyDescent="0.3">
      <c r="B20" s="12">
        <v>91500</v>
      </c>
    </row>
    <row r="21" spans="2:2" x14ac:dyDescent="0.3">
      <c r="B21" s="12">
        <v>113500</v>
      </c>
    </row>
    <row r="22" spans="2:2" x14ac:dyDescent="0.3">
      <c r="B22" s="12">
        <v>99000</v>
      </c>
    </row>
    <row r="23" spans="2:2" x14ac:dyDescent="0.3">
      <c r="B23" s="12">
        <v>75500</v>
      </c>
    </row>
    <row r="24" spans="2:2" x14ac:dyDescent="0.3">
      <c r="B24" s="12">
        <v>86000</v>
      </c>
    </row>
    <row r="25" spans="2:2" x14ac:dyDescent="0.3">
      <c r="B25" s="12">
        <v>156500</v>
      </c>
    </row>
    <row r="26" spans="2:2" x14ac:dyDescent="0.3">
      <c r="B26" s="12">
        <v>99500</v>
      </c>
    </row>
    <row r="27" spans="2:2" x14ac:dyDescent="0.3">
      <c r="B27" s="12">
        <v>148000</v>
      </c>
    </row>
    <row r="28" spans="2:2" x14ac:dyDescent="0.3">
      <c r="B28" s="12">
        <v>82000</v>
      </c>
    </row>
    <row r="29" spans="2:2" x14ac:dyDescent="0.3">
      <c r="B29" s="12">
        <v>103500</v>
      </c>
    </row>
    <row r="30" spans="2:2" x14ac:dyDescent="0.3">
      <c r="B30" s="12">
        <v>205500</v>
      </c>
    </row>
    <row r="31" spans="2:2" x14ac:dyDescent="0.3">
      <c r="B31" s="12">
        <v>103500</v>
      </c>
    </row>
    <row r="32" spans="2:2" x14ac:dyDescent="0.3">
      <c r="B32" s="12">
        <v>340000</v>
      </c>
    </row>
    <row r="33" spans="2:2" x14ac:dyDescent="0.3">
      <c r="B33" s="12">
        <v>103500</v>
      </c>
    </row>
    <row r="34" spans="2:2" x14ac:dyDescent="0.3">
      <c r="B34" s="12">
        <v>99500</v>
      </c>
    </row>
    <row r="35" spans="2:2" x14ac:dyDescent="0.3">
      <c r="B35" s="12">
        <v>103000</v>
      </c>
    </row>
    <row r="36" spans="2:2" x14ac:dyDescent="0.3">
      <c r="B36" s="12">
        <v>103500</v>
      </c>
    </row>
    <row r="37" spans="2:2" x14ac:dyDescent="0.3">
      <c r="B37" s="12">
        <v>165000</v>
      </c>
    </row>
    <row r="38" spans="2:2" x14ac:dyDescent="0.3">
      <c r="B38" s="12">
        <v>124500</v>
      </c>
    </row>
    <row r="39" spans="2:2" x14ac:dyDescent="0.3">
      <c r="B39" s="12">
        <v>103500</v>
      </c>
    </row>
    <row r="40" spans="2:2" x14ac:dyDescent="0.3">
      <c r="B40" s="12">
        <v>82500</v>
      </c>
    </row>
    <row r="41" spans="2:2" x14ac:dyDescent="0.3">
      <c r="B41" s="12">
        <v>93000</v>
      </c>
    </row>
    <row r="42" spans="2:2" x14ac:dyDescent="0.3">
      <c r="B42" s="12">
        <v>168000</v>
      </c>
    </row>
    <row r="43" spans="2:2" x14ac:dyDescent="0.3">
      <c r="B43" s="12">
        <v>96000</v>
      </c>
    </row>
    <row r="44" spans="2:2" x14ac:dyDescent="0.3">
      <c r="B44" s="12">
        <v>80000</v>
      </c>
    </row>
    <row r="45" spans="2:2" x14ac:dyDescent="0.3">
      <c r="B45" s="12">
        <v>124500</v>
      </c>
    </row>
    <row r="46" spans="2:2" x14ac:dyDescent="0.3">
      <c r="B46" s="12">
        <v>99000</v>
      </c>
    </row>
    <row r="47" spans="2:2" x14ac:dyDescent="0.3">
      <c r="B47" s="12">
        <v>124000</v>
      </c>
    </row>
    <row r="48" spans="2:2" x14ac:dyDescent="0.3">
      <c r="B48" s="12">
        <v>91500</v>
      </c>
    </row>
    <row r="49" spans="2:2" x14ac:dyDescent="0.3">
      <c r="B49" s="12">
        <v>144500</v>
      </c>
    </row>
    <row r="50" spans="2:2" x14ac:dyDescent="0.3">
      <c r="B50" s="12">
        <v>114500</v>
      </c>
    </row>
    <row r="51" spans="2:2" x14ac:dyDescent="0.3">
      <c r="B51" s="12">
        <v>104500</v>
      </c>
    </row>
    <row r="52" spans="2:2" x14ac:dyDescent="0.3">
      <c r="B52" s="12">
        <v>124000</v>
      </c>
    </row>
    <row r="53" spans="2:2" x14ac:dyDescent="0.3">
      <c r="B53" s="12">
        <v>113000</v>
      </c>
    </row>
    <row r="54" spans="2:2" x14ac:dyDescent="0.3">
      <c r="B54" s="12">
        <v>78000</v>
      </c>
    </row>
    <row r="55" spans="2:2" x14ac:dyDescent="0.3">
      <c r="B55" s="12">
        <v>109000</v>
      </c>
    </row>
    <row r="56" spans="2:2" x14ac:dyDescent="0.3">
      <c r="B56" s="12">
        <v>99500</v>
      </c>
    </row>
    <row r="57" spans="2:2" x14ac:dyDescent="0.3">
      <c r="B57" s="12">
        <v>107000</v>
      </c>
    </row>
    <row r="58" spans="2:2" x14ac:dyDescent="0.3">
      <c r="B58" s="12">
        <v>84000</v>
      </c>
    </row>
  </sheetData>
  <mergeCells count="1">
    <mergeCell ref="D5:E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E17D6-8455-4676-965E-6611AD4A5D26}">
  <sheetPr codeName="Sheet9">
    <tabColor theme="4" tint="0.59999389629810485"/>
  </sheetPr>
  <dimension ref="B1:H64"/>
  <sheetViews>
    <sheetView showGridLines="0" workbookViewId="0">
      <selection activeCell="F18" sqref="F18"/>
    </sheetView>
  </sheetViews>
  <sheetFormatPr defaultRowHeight="14.4" x14ac:dyDescent="0.3"/>
  <cols>
    <col min="1" max="1" width="2.88671875" customWidth="1"/>
    <col min="2" max="2" width="19.6640625" customWidth="1"/>
    <col min="3" max="3" width="2.88671875" customWidth="1"/>
    <col min="4" max="4" width="17" bestFit="1" customWidth="1"/>
    <col min="6" max="6" width="11.44140625" customWidth="1"/>
    <col min="7" max="8" width="14.33203125" customWidth="1"/>
  </cols>
  <sheetData>
    <row r="1" spans="2:8" ht="25.5" customHeight="1" x14ac:dyDescent="0.35">
      <c r="B1" s="17" t="s">
        <v>111</v>
      </c>
    </row>
    <row r="2" spans="2:8" ht="15" customHeight="1" x14ac:dyDescent="0.3">
      <c r="B2" s="27" t="s">
        <v>253</v>
      </c>
    </row>
    <row r="3" spans="2:8" ht="18" customHeight="1" x14ac:dyDescent="0.3"/>
    <row r="5" spans="2:8" x14ac:dyDescent="0.3">
      <c r="B5" s="7" t="s">
        <v>50</v>
      </c>
      <c r="D5" s="7" t="s">
        <v>51</v>
      </c>
      <c r="F5" s="108" t="s">
        <v>52</v>
      </c>
      <c r="G5" s="108"/>
      <c r="H5" s="108"/>
    </row>
    <row r="6" spans="2:8" x14ac:dyDescent="0.3">
      <c r="B6" s="8">
        <v>90.2</v>
      </c>
      <c r="D6" s="8">
        <v>68.7</v>
      </c>
      <c r="G6" s="16" t="s">
        <v>23</v>
      </c>
      <c r="H6" s="16" t="s">
        <v>25</v>
      </c>
    </row>
    <row r="7" spans="2:8" x14ac:dyDescent="0.3">
      <c r="B7" s="8">
        <v>92.8</v>
      </c>
      <c r="D7" s="8">
        <v>80.7</v>
      </c>
      <c r="F7" s="19" t="s">
        <v>17</v>
      </c>
      <c r="G7" s="65">
        <f>COUNT(B6:B41)</f>
        <v>36</v>
      </c>
      <c r="H7" s="65">
        <f>COUNT(D6:D64)</f>
        <v>59</v>
      </c>
    </row>
    <row r="8" spans="2:8" x14ac:dyDescent="0.3">
      <c r="B8" s="8">
        <v>88.7</v>
      </c>
      <c r="D8" s="8">
        <v>74.900000000000006</v>
      </c>
      <c r="F8" s="19" t="s">
        <v>41</v>
      </c>
      <c r="G8" s="66">
        <f>AVERAGE(B6:B41)</f>
        <v>81.327777777777783</v>
      </c>
      <c r="H8" s="66">
        <f>AVERAGE(D6:D64)</f>
        <v>79.462711864406785</v>
      </c>
    </row>
    <row r="9" spans="2:8" x14ac:dyDescent="0.3">
      <c r="B9" s="8">
        <v>87.5</v>
      </c>
      <c r="D9" s="8">
        <v>80.7</v>
      </c>
      <c r="F9" s="19" t="s">
        <v>42</v>
      </c>
      <c r="G9" s="66">
        <f>MEDIAN(B6:B41)</f>
        <v>80.55</v>
      </c>
      <c r="H9" s="66">
        <f>MEDIAN(D6:D64)</f>
        <v>80</v>
      </c>
    </row>
    <row r="10" spans="2:8" x14ac:dyDescent="0.3">
      <c r="B10" s="8">
        <v>71.3</v>
      </c>
      <c r="D10" s="8">
        <v>83.3</v>
      </c>
      <c r="F10" s="19" t="s">
        <v>43</v>
      </c>
      <c r="G10" s="66">
        <f>_xlfn.MODE.SNGL(B6:B41)</f>
        <v>87.5</v>
      </c>
      <c r="H10" s="66">
        <f>_xlfn.MODE.SNGL(D6:D64)</f>
        <v>80.7</v>
      </c>
    </row>
    <row r="11" spans="2:8" x14ac:dyDescent="0.3">
      <c r="B11" s="8">
        <v>72.3</v>
      </c>
      <c r="D11" s="8">
        <v>75.400000000000006</v>
      </c>
      <c r="F11" s="19" t="s">
        <v>44</v>
      </c>
      <c r="G11" s="64">
        <f>SKEW(B6:B41)</f>
        <v>0.28816497815781422</v>
      </c>
      <c r="H11" s="64">
        <f>SKEW(D6:D64)</f>
        <v>-0.60601796987265744</v>
      </c>
    </row>
    <row r="12" spans="2:8" x14ac:dyDescent="0.3">
      <c r="B12" s="8">
        <v>96.1</v>
      </c>
      <c r="D12" s="8">
        <v>82.1</v>
      </c>
    </row>
    <row r="13" spans="2:8" x14ac:dyDescent="0.3">
      <c r="B13" s="8">
        <v>80.3</v>
      </c>
      <c r="D13" s="8">
        <v>66.900000000000006</v>
      </c>
    </row>
    <row r="14" spans="2:8" x14ac:dyDescent="0.3">
      <c r="B14" s="8">
        <v>79.099999999999994</v>
      </c>
      <c r="D14" s="8">
        <v>76.8</v>
      </c>
    </row>
    <row r="15" spans="2:8" x14ac:dyDescent="0.3">
      <c r="B15" s="8">
        <v>87.5</v>
      </c>
      <c r="D15" s="8">
        <v>72.400000000000006</v>
      </c>
    </row>
    <row r="16" spans="2:8" x14ac:dyDescent="0.3">
      <c r="B16" s="8">
        <v>80.8</v>
      </c>
      <c r="D16" s="8">
        <v>72</v>
      </c>
    </row>
    <row r="17" spans="2:4" x14ac:dyDescent="0.3">
      <c r="B17" s="8">
        <v>88.9</v>
      </c>
      <c r="D17" s="8">
        <v>81</v>
      </c>
    </row>
    <row r="18" spans="2:4" x14ac:dyDescent="0.3">
      <c r="B18" s="8">
        <v>82.3</v>
      </c>
      <c r="D18" s="8">
        <v>76.7</v>
      </c>
    </row>
    <row r="19" spans="2:4" x14ac:dyDescent="0.3">
      <c r="B19" s="8">
        <v>83.4</v>
      </c>
      <c r="D19" s="8">
        <v>77.8</v>
      </c>
    </row>
    <row r="20" spans="2:4" x14ac:dyDescent="0.3">
      <c r="B20" s="8">
        <v>77.8</v>
      </c>
      <c r="D20" s="8">
        <v>62.6</v>
      </c>
    </row>
    <row r="21" spans="2:4" x14ac:dyDescent="0.3">
      <c r="B21" s="8">
        <v>71</v>
      </c>
      <c r="D21" s="8">
        <v>80.2</v>
      </c>
    </row>
    <row r="22" spans="2:4" x14ac:dyDescent="0.3">
      <c r="B22" s="8">
        <v>87.2</v>
      </c>
      <c r="D22" s="8">
        <v>77.8</v>
      </c>
    </row>
    <row r="23" spans="2:4" x14ac:dyDescent="0.3">
      <c r="B23" s="8">
        <v>82.9</v>
      </c>
      <c r="D23" s="8">
        <v>75.099999999999994</v>
      </c>
    </row>
    <row r="24" spans="2:4" x14ac:dyDescent="0.3">
      <c r="B24" s="8">
        <v>75.099999999999994</v>
      </c>
      <c r="D24" s="8">
        <v>82.2</v>
      </c>
    </row>
    <row r="25" spans="2:4" x14ac:dyDescent="0.3">
      <c r="B25" s="8">
        <v>74.900000000000006</v>
      </c>
      <c r="D25" s="8">
        <v>70.5</v>
      </c>
    </row>
    <row r="26" spans="2:4" x14ac:dyDescent="0.3">
      <c r="B26" s="8">
        <v>81.7</v>
      </c>
      <c r="D26" s="8">
        <v>70.8</v>
      </c>
    </row>
    <row r="27" spans="2:4" x14ac:dyDescent="0.3">
      <c r="B27" s="8">
        <v>83.8</v>
      </c>
      <c r="D27" s="8">
        <v>79.5</v>
      </c>
    </row>
    <row r="28" spans="2:4" x14ac:dyDescent="0.3">
      <c r="B28" s="8">
        <v>74.8</v>
      </c>
      <c r="D28" s="8">
        <v>79.599999999999994</v>
      </c>
    </row>
    <row r="29" spans="2:4" x14ac:dyDescent="0.3">
      <c r="B29" s="8">
        <v>82.7</v>
      </c>
      <c r="D29" s="8">
        <v>85.9</v>
      </c>
    </row>
    <row r="30" spans="2:4" x14ac:dyDescent="0.3">
      <c r="B30" s="8">
        <v>84</v>
      </c>
      <c r="D30" s="8">
        <v>76.7</v>
      </c>
    </row>
    <row r="31" spans="2:4" x14ac:dyDescent="0.3">
      <c r="B31" s="8">
        <v>80.099999999999994</v>
      </c>
      <c r="D31" s="8">
        <v>79.900000000000006</v>
      </c>
    </row>
    <row r="32" spans="2:4" x14ac:dyDescent="0.3">
      <c r="B32" s="8">
        <v>79.599999999999994</v>
      </c>
      <c r="D32" s="8">
        <v>86.2</v>
      </c>
    </row>
    <row r="33" spans="2:4" x14ac:dyDescent="0.3">
      <c r="B33" s="8">
        <v>78.900000000000006</v>
      </c>
      <c r="D33" s="8">
        <v>79.2</v>
      </c>
    </row>
    <row r="34" spans="2:4" x14ac:dyDescent="0.3">
      <c r="B34" s="8">
        <v>72</v>
      </c>
      <c r="D34" s="8">
        <v>85.2</v>
      </c>
    </row>
    <row r="35" spans="2:4" x14ac:dyDescent="0.3">
      <c r="B35" s="8">
        <v>74.2</v>
      </c>
      <c r="D35" s="8">
        <v>80.2</v>
      </c>
    </row>
    <row r="36" spans="2:4" x14ac:dyDescent="0.3">
      <c r="B36" s="8">
        <v>71.7</v>
      </c>
      <c r="D36" s="8">
        <v>73.5</v>
      </c>
    </row>
    <row r="37" spans="2:4" x14ac:dyDescent="0.3">
      <c r="B37" s="8">
        <v>87.4</v>
      </c>
      <c r="D37" s="8">
        <v>74.599999999999994</v>
      </c>
    </row>
    <row r="38" spans="2:4" x14ac:dyDescent="0.3">
      <c r="B38" s="8">
        <v>77.400000000000006</v>
      </c>
      <c r="D38" s="8">
        <v>85.1</v>
      </c>
    </row>
    <row r="39" spans="2:4" x14ac:dyDescent="0.3">
      <c r="B39" s="8">
        <v>78.8</v>
      </c>
      <c r="D39" s="8">
        <v>84.6</v>
      </c>
    </row>
    <row r="40" spans="2:4" x14ac:dyDescent="0.3">
      <c r="B40" s="8">
        <v>92.7</v>
      </c>
      <c r="D40" s="8">
        <v>81.400000000000006</v>
      </c>
    </row>
    <row r="41" spans="2:4" x14ac:dyDescent="0.3">
      <c r="B41" s="8">
        <v>77.900000000000006</v>
      </c>
      <c r="D41" s="8">
        <v>88.5</v>
      </c>
    </row>
    <row r="42" spans="2:4" x14ac:dyDescent="0.3">
      <c r="D42" s="8">
        <v>84.9</v>
      </c>
    </row>
    <row r="43" spans="2:4" x14ac:dyDescent="0.3">
      <c r="D43" s="8">
        <v>84.3</v>
      </c>
    </row>
    <row r="44" spans="2:4" x14ac:dyDescent="0.3">
      <c r="D44" s="8">
        <v>78.2</v>
      </c>
    </row>
    <row r="45" spans="2:4" x14ac:dyDescent="0.3">
      <c r="D45" s="8">
        <v>80</v>
      </c>
    </row>
    <row r="46" spans="2:4" x14ac:dyDescent="0.3">
      <c r="D46" s="8">
        <v>78.5</v>
      </c>
    </row>
    <row r="47" spans="2:4" x14ac:dyDescent="0.3">
      <c r="D47" s="8">
        <v>71.8</v>
      </c>
    </row>
    <row r="48" spans="2:4" x14ac:dyDescent="0.3">
      <c r="D48" s="8">
        <v>69.900000000000006</v>
      </c>
    </row>
    <row r="49" spans="4:4" x14ac:dyDescent="0.3">
      <c r="D49" s="8">
        <v>74</v>
      </c>
    </row>
    <row r="50" spans="4:4" x14ac:dyDescent="0.3">
      <c r="D50" s="8">
        <v>84.7</v>
      </c>
    </row>
    <row r="51" spans="4:4" x14ac:dyDescent="0.3">
      <c r="D51" s="8">
        <v>78.2</v>
      </c>
    </row>
    <row r="52" spans="4:4" x14ac:dyDescent="0.3">
      <c r="D52" s="8">
        <v>85</v>
      </c>
    </row>
    <row r="53" spans="4:4" x14ac:dyDescent="0.3">
      <c r="D53" s="8">
        <v>85.3</v>
      </c>
    </row>
    <row r="54" spans="4:4" x14ac:dyDescent="0.3">
      <c r="D54" s="8">
        <v>79.7</v>
      </c>
    </row>
    <row r="55" spans="4:4" x14ac:dyDescent="0.3">
      <c r="D55" s="8">
        <v>78.5</v>
      </c>
    </row>
    <row r="56" spans="4:4" x14ac:dyDescent="0.3">
      <c r="D56" s="8">
        <v>80.7</v>
      </c>
    </row>
    <row r="57" spans="4:4" x14ac:dyDescent="0.3">
      <c r="D57" s="8">
        <v>84.1</v>
      </c>
    </row>
    <row r="58" spans="4:4" x14ac:dyDescent="0.3">
      <c r="D58" s="8">
        <v>84.7</v>
      </c>
    </row>
    <row r="59" spans="4:4" x14ac:dyDescent="0.3">
      <c r="D59" s="8">
        <v>88.8</v>
      </c>
    </row>
    <row r="60" spans="4:4" x14ac:dyDescent="0.3">
      <c r="D60" s="8">
        <v>86.6</v>
      </c>
    </row>
    <row r="61" spans="4:4" x14ac:dyDescent="0.3">
      <c r="D61" s="8">
        <v>86.1</v>
      </c>
    </row>
    <row r="62" spans="4:4" x14ac:dyDescent="0.3">
      <c r="D62" s="8">
        <v>89.9</v>
      </c>
    </row>
    <row r="63" spans="4:4" x14ac:dyDescent="0.3">
      <c r="D63" s="8">
        <v>83.1</v>
      </c>
    </row>
    <row r="64" spans="4:4" x14ac:dyDescent="0.3">
      <c r="D64" s="8">
        <v>82.6</v>
      </c>
    </row>
  </sheetData>
  <mergeCells count="1">
    <mergeCell ref="F5:H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BDBF6-A26D-42E2-A54F-6D85C0DB9A49}">
  <sheetPr codeName="Sheet10">
    <tabColor theme="4" tint="0.79998168889431442"/>
  </sheetPr>
  <dimension ref="B1:G100"/>
  <sheetViews>
    <sheetView showGridLines="0" workbookViewId="0">
      <selection activeCell="E4" sqref="E4"/>
    </sheetView>
  </sheetViews>
  <sheetFormatPr defaultRowHeight="14.4" x14ac:dyDescent="0.3"/>
  <cols>
    <col min="1" max="1" width="2.88671875" customWidth="1"/>
    <col min="2" max="2" width="21.44140625" bestFit="1" customWidth="1"/>
    <col min="3" max="3" width="19.88671875" bestFit="1" customWidth="1"/>
  </cols>
  <sheetData>
    <row r="1" spans="2:7" ht="25.5" customHeight="1" x14ac:dyDescent="0.35">
      <c r="B1" s="17" t="s">
        <v>112</v>
      </c>
    </row>
    <row r="2" spans="2:7" ht="15" customHeight="1" x14ac:dyDescent="0.3">
      <c r="B2" s="27" t="s">
        <v>6</v>
      </c>
    </row>
    <row r="3" spans="2:7" ht="18" customHeight="1" x14ac:dyDescent="0.3"/>
    <row r="4" spans="2:7" x14ac:dyDescent="0.3">
      <c r="E4" s="3"/>
    </row>
    <row r="5" spans="2:7" x14ac:dyDescent="0.3">
      <c r="B5" s="7" t="s">
        <v>21</v>
      </c>
      <c r="C5" s="7" t="s">
        <v>22</v>
      </c>
      <c r="E5" s="108" t="s">
        <v>56</v>
      </c>
      <c r="F5" s="108"/>
      <c r="G5" s="108"/>
    </row>
    <row r="6" spans="2:7" x14ac:dyDescent="0.3">
      <c r="B6" s="8">
        <v>252</v>
      </c>
      <c r="C6" s="8">
        <v>276</v>
      </c>
      <c r="F6" s="16" t="s">
        <v>53</v>
      </c>
      <c r="G6" s="16" t="s">
        <v>54</v>
      </c>
    </row>
    <row r="7" spans="2:7" x14ac:dyDescent="0.3">
      <c r="B7" s="8">
        <v>423</v>
      </c>
      <c r="C7" s="8">
        <v>410</v>
      </c>
      <c r="E7" s="19" t="s">
        <v>28</v>
      </c>
      <c r="F7" s="65">
        <f>MIN(B6:B100)</f>
        <v>62</v>
      </c>
      <c r="G7" s="65">
        <f>MIN(C6:C100)</f>
        <v>102</v>
      </c>
    </row>
    <row r="8" spans="2:7" x14ac:dyDescent="0.3">
      <c r="B8" s="8">
        <v>101</v>
      </c>
      <c r="C8" s="8">
        <v>119</v>
      </c>
      <c r="E8" s="19" t="s">
        <v>27</v>
      </c>
      <c r="F8" s="65">
        <f>MAX(B6:B100)</f>
        <v>423</v>
      </c>
      <c r="G8" s="65">
        <f>MAX(C6:C100)</f>
        <v>481</v>
      </c>
    </row>
    <row r="9" spans="2:7" x14ac:dyDescent="0.3">
      <c r="B9" s="8">
        <v>288</v>
      </c>
      <c r="C9" s="8">
        <v>334</v>
      </c>
      <c r="E9" s="19" t="s">
        <v>55</v>
      </c>
      <c r="F9" s="65">
        <f>F8-F7</f>
        <v>361</v>
      </c>
      <c r="G9" s="65">
        <f>G8-G7</f>
        <v>379</v>
      </c>
    </row>
    <row r="10" spans="2:7" x14ac:dyDescent="0.3">
      <c r="B10" s="8">
        <v>248</v>
      </c>
      <c r="C10" s="8">
        <v>252</v>
      </c>
    </row>
    <row r="11" spans="2:7" x14ac:dyDescent="0.3">
      <c r="B11" s="8">
        <v>145</v>
      </c>
      <c r="C11" s="8">
        <v>209</v>
      </c>
    </row>
    <row r="12" spans="2:7" x14ac:dyDescent="0.3">
      <c r="B12" s="8">
        <v>401</v>
      </c>
      <c r="C12" s="8">
        <v>462</v>
      </c>
    </row>
    <row r="13" spans="2:7" x14ac:dyDescent="0.3">
      <c r="B13" s="8">
        <v>287</v>
      </c>
      <c r="C13" s="8">
        <v>342</v>
      </c>
    </row>
    <row r="14" spans="2:7" x14ac:dyDescent="0.3">
      <c r="B14" s="8">
        <v>275</v>
      </c>
      <c r="C14" s="8">
        <v>347</v>
      </c>
    </row>
    <row r="15" spans="2:7" x14ac:dyDescent="0.3">
      <c r="B15" s="8">
        <v>254</v>
      </c>
      <c r="C15" s="8">
        <v>313</v>
      </c>
    </row>
    <row r="16" spans="2:7" x14ac:dyDescent="0.3">
      <c r="B16" s="8">
        <v>182</v>
      </c>
      <c r="C16" s="8">
        <v>232</v>
      </c>
    </row>
    <row r="17" spans="2:3" x14ac:dyDescent="0.3">
      <c r="B17" s="8">
        <v>117</v>
      </c>
      <c r="C17" s="8">
        <v>163</v>
      </c>
    </row>
    <row r="18" spans="2:3" x14ac:dyDescent="0.3">
      <c r="B18" s="8">
        <v>130</v>
      </c>
      <c r="C18" s="8">
        <v>119</v>
      </c>
    </row>
    <row r="19" spans="2:3" x14ac:dyDescent="0.3">
      <c r="B19" s="8">
        <v>219</v>
      </c>
      <c r="C19" s="8">
        <v>304</v>
      </c>
    </row>
    <row r="20" spans="2:3" x14ac:dyDescent="0.3">
      <c r="B20" s="8">
        <v>152</v>
      </c>
      <c r="C20" s="8">
        <v>211</v>
      </c>
    </row>
    <row r="21" spans="2:3" x14ac:dyDescent="0.3">
      <c r="B21" s="8">
        <v>228</v>
      </c>
      <c r="C21" s="8">
        <v>286</v>
      </c>
    </row>
    <row r="22" spans="2:3" x14ac:dyDescent="0.3">
      <c r="B22" s="8">
        <v>62</v>
      </c>
      <c r="C22" s="8">
        <v>122</v>
      </c>
    </row>
    <row r="23" spans="2:3" x14ac:dyDescent="0.3">
      <c r="B23" s="8">
        <v>393</v>
      </c>
      <c r="C23" s="8">
        <v>443</v>
      </c>
    </row>
    <row r="24" spans="2:3" x14ac:dyDescent="0.3">
      <c r="B24" s="8">
        <v>277</v>
      </c>
      <c r="C24" s="8">
        <v>366</v>
      </c>
    </row>
    <row r="25" spans="2:3" x14ac:dyDescent="0.3">
      <c r="B25" s="8">
        <v>206</v>
      </c>
      <c r="C25" s="8">
        <v>244</v>
      </c>
    </row>
    <row r="26" spans="2:3" x14ac:dyDescent="0.3">
      <c r="B26" s="8">
        <v>229</v>
      </c>
      <c r="C26" s="8">
        <v>241</v>
      </c>
    </row>
    <row r="27" spans="2:3" x14ac:dyDescent="0.3">
      <c r="B27" s="8">
        <v>182</v>
      </c>
      <c r="C27" s="8">
        <v>237</v>
      </c>
    </row>
    <row r="28" spans="2:3" x14ac:dyDescent="0.3">
      <c r="B28" s="8">
        <v>98</v>
      </c>
      <c r="C28" s="8">
        <v>122</v>
      </c>
    </row>
    <row r="29" spans="2:3" x14ac:dyDescent="0.3">
      <c r="B29" s="8">
        <v>125</v>
      </c>
      <c r="C29" s="8">
        <v>129</v>
      </c>
    </row>
    <row r="30" spans="2:3" x14ac:dyDescent="0.3">
      <c r="B30" s="8">
        <v>164</v>
      </c>
      <c r="C30" s="8">
        <v>236</v>
      </c>
    </row>
    <row r="31" spans="2:3" x14ac:dyDescent="0.3">
      <c r="B31" s="8">
        <v>186</v>
      </c>
      <c r="C31" s="8">
        <v>251</v>
      </c>
    </row>
    <row r="32" spans="2:3" x14ac:dyDescent="0.3">
      <c r="B32" s="8">
        <v>235</v>
      </c>
      <c r="C32" s="8">
        <v>283</v>
      </c>
    </row>
    <row r="33" spans="2:3" x14ac:dyDescent="0.3">
      <c r="B33" s="8">
        <v>184</v>
      </c>
      <c r="C33" s="8">
        <v>225</v>
      </c>
    </row>
    <row r="34" spans="2:3" x14ac:dyDescent="0.3">
      <c r="B34" s="8">
        <v>76</v>
      </c>
      <c r="C34" s="8">
        <v>102</v>
      </c>
    </row>
    <row r="35" spans="2:3" x14ac:dyDescent="0.3">
      <c r="B35" s="8">
        <v>126</v>
      </c>
      <c r="C35" s="8">
        <v>180</v>
      </c>
    </row>
    <row r="36" spans="2:3" x14ac:dyDescent="0.3">
      <c r="B36" s="8">
        <v>183</v>
      </c>
      <c r="C36" s="8">
        <v>247</v>
      </c>
    </row>
    <row r="37" spans="2:3" x14ac:dyDescent="0.3">
      <c r="B37" s="8">
        <v>242</v>
      </c>
      <c r="C37" s="8">
        <v>343</v>
      </c>
    </row>
    <row r="38" spans="2:3" x14ac:dyDescent="0.3">
      <c r="B38" s="8">
        <v>207</v>
      </c>
      <c r="C38" s="8">
        <v>283</v>
      </c>
    </row>
    <row r="39" spans="2:3" x14ac:dyDescent="0.3">
      <c r="B39" s="8">
        <v>181</v>
      </c>
      <c r="C39" s="8">
        <v>253</v>
      </c>
    </row>
    <row r="40" spans="2:3" x14ac:dyDescent="0.3">
      <c r="B40" s="8">
        <v>239</v>
      </c>
      <c r="C40" s="8">
        <v>263</v>
      </c>
    </row>
    <row r="41" spans="2:3" x14ac:dyDescent="0.3">
      <c r="B41" s="8">
        <v>216</v>
      </c>
      <c r="C41" s="8">
        <v>291</v>
      </c>
    </row>
    <row r="42" spans="2:3" x14ac:dyDescent="0.3">
      <c r="B42" s="8">
        <v>289</v>
      </c>
      <c r="C42" s="8">
        <v>368</v>
      </c>
    </row>
    <row r="43" spans="2:3" x14ac:dyDescent="0.3">
      <c r="B43" s="8">
        <v>213</v>
      </c>
      <c r="C43" s="8">
        <v>206</v>
      </c>
    </row>
    <row r="44" spans="2:3" x14ac:dyDescent="0.3">
      <c r="B44" s="8">
        <v>209</v>
      </c>
      <c r="C44" s="8">
        <v>231</v>
      </c>
    </row>
    <row r="45" spans="2:3" x14ac:dyDescent="0.3">
      <c r="B45" s="8">
        <v>376</v>
      </c>
      <c r="C45" s="8">
        <v>389</v>
      </c>
    </row>
    <row r="46" spans="2:3" x14ac:dyDescent="0.3">
      <c r="B46" s="8">
        <v>332</v>
      </c>
      <c r="C46" s="8">
        <v>396</v>
      </c>
    </row>
    <row r="47" spans="2:3" x14ac:dyDescent="0.3">
      <c r="B47" s="8">
        <v>249</v>
      </c>
      <c r="C47" s="8">
        <v>339</v>
      </c>
    </row>
    <row r="48" spans="2:3" x14ac:dyDescent="0.3">
      <c r="B48" s="8">
        <v>228</v>
      </c>
      <c r="C48" s="8">
        <v>286</v>
      </c>
    </row>
    <row r="49" spans="2:3" x14ac:dyDescent="0.3">
      <c r="B49" s="8">
        <v>124</v>
      </c>
      <c r="C49" s="8">
        <v>146</v>
      </c>
    </row>
    <row r="50" spans="2:3" x14ac:dyDescent="0.3">
      <c r="B50" s="8">
        <v>194</v>
      </c>
      <c r="C50" s="8">
        <v>315</v>
      </c>
    </row>
    <row r="51" spans="2:3" x14ac:dyDescent="0.3">
      <c r="B51" s="8">
        <v>157</v>
      </c>
      <c r="C51" s="8">
        <v>183</v>
      </c>
    </row>
    <row r="52" spans="2:3" x14ac:dyDescent="0.3">
      <c r="B52" s="8">
        <v>402</v>
      </c>
      <c r="C52" s="8">
        <v>481</v>
      </c>
    </row>
    <row r="53" spans="2:3" x14ac:dyDescent="0.3">
      <c r="B53" s="8">
        <v>323</v>
      </c>
      <c r="C53" s="8">
        <v>349</v>
      </c>
    </row>
    <row r="54" spans="2:3" x14ac:dyDescent="0.3">
      <c r="B54" s="8">
        <v>181</v>
      </c>
      <c r="C54" s="8">
        <v>225</v>
      </c>
    </row>
    <row r="55" spans="2:3" x14ac:dyDescent="0.3">
      <c r="B55" s="8">
        <v>157</v>
      </c>
      <c r="C55" s="8">
        <v>217</v>
      </c>
    </row>
    <row r="56" spans="2:3" x14ac:dyDescent="0.3">
      <c r="B56" s="8">
        <v>266</v>
      </c>
      <c r="C56" s="8">
        <v>353</v>
      </c>
    </row>
    <row r="57" spans="2:3" x14ac:dyDescent="0.3">
      <c r="B57" s="8">
        <v>268</v>
      </c>
      <c r="C57" s="8">
        <v>314</v>
      </c>
    </row>
    <row r="58" spans="2:3" x14ac:dyDescent="0.3">
      <c r="B58" s="8">
        <v>167</v>
      </c>
      <c r="C58" s="8">
        <v>247</v>
      </c>
    </row>
    <row r="59" spans="2:3" x14ac:dyDescent="0.3">
      <c r="B59" s="8">
        <v>342</v>
      </c>
      <c r="C59" s="8">
        <v>410</v>
      </c>
    </row>
    <row r="60" spans="2:3" x14ac:dyDescent="0.3">
      <c r="B60" s="8">
        <v>349</v>
      </c>
      <c r="C60" s="8">
        <v>395</v>
      </c>
    </row>
    <row r="61" spans="2:3" x14ac:dyDescent="0.3">
      <c r="B61" s="8">
        <v>340</v>
      </c>
      <c r="C61" s="8">
        <v>416</v>
      </c>
    </row>
    <row r="62" spans="2:3" x14ac:dyDescent="0.3">
      <c r="B62" s="8">
        <v>227</v>
      </c>
      <c r="C62" s="8">
        <v>342</v>
      </c>
    </row>
    <row r="63" spans="2:3" x14ac:dyDescent="0.3">
      <c r="B63" s="8">
        <v>409</v>
      </c>
      <c r="C63" s="8">
        <v>446</v>
      </c>
    </row>
    <row r="64" spans="2:3" x14ac:dyDescent="0.3">
      <c r="B64" s="8">
        <v>400</v>
      </c>
      <c r="C64" s="8">
        <v>477</v>
      </c>
    </row>
    <row r="65" spans="2:3" x14ac:dyDescent="0.3">
      <c r="B65" s="8">
        <v>374</v>
      </c>
      <c r="C65" s="8">
        <v>444</v>
      </c>
    </row>
    <row r="66" spans="2:3" x14ac:dyDescent="0.3">
      <c r="B66" s="8">
        <v>255</v>
      </c>
      <c r="C66" s="8">
        <v>351</v>
      </c>
    </row>
    <row r="67" spans="2:3" x14ac:dyDescent="0.3">
      <c r="B67" s="8">
        <v>146</v>
      </c>
      <c r="C67" s="8">
        <v>165</v>
      </c>
    </row>
    <row r="68" spans="2:3" x14ac:dyDescent="0.3">
      <c r="B68" s="8">
        <v>248</v>
      </c>
      <c r="C68" s="8">
        <v>317</v>
      </c>
    </row>
    <row r="69" spans="2:3" x14ac:dyDescent="0.3">
      <c r="B69" s="8">
        <v>198</v>
      </c>
      <c r="C69" s="8">
        <v>250</v>
      </c>
    </row>
    <row r="70" spans="2:3" x14ac:dyDescent="0.3">
      <c r="B70" s="8">
        <v>210</v>
      </c>
      <c r="C70" s="8">
        <v>217</v>
      </c>
    </row>
    <row r="71" spans="2:3" x14ac:dyDescent="0.3">
      <c r="B71" s="8">
        <v>107</v>
      </c>
      <c r="C71" s="8">
        <v>138</v>
      </c>
    </row>
    <row r="72" spans="2:3" x14ac:dyDescent="0.3">
      <c r="B72" s="8">
        <v>239</v>
      </c>
      <c r="C72" s="8">
        <v>302</v>
      </c>
    </row>
    <row r="73" spans="2:3" x14ac:dyDescent="0.3">
      <c r="B73" s="8">
        <v>287</v>
      </c>
      <c r="C73" s="8">
        <v>311</v>
      </c>
    </row>
    <row r="74" spans="2:3" x14ac:dyDescent="0.3">
      <c r="B74" s="8">
        <v>340</v>
      </c>
      <c r="C74" s="8">
        <v>373</v>
      </c>
    </row>
    <row r="75" spans="2:3" x14ac:dyDescent="0.3">
      <c r="B75" s="8">
        <v>155</v>
      </c>
      <c r="C75" s="8">
        <v>196</v>
      </c>
    </row>
    <row r="76" spans="2:3" x14ac:dyDescent="0.3">
      <c r="B76" s="8">
        <v>263</v>
      </c>
      <c r="C76" s="8">
        <v>306</v>
      </c>
    </row>
    <row r="77" spans="2:3" x14ac:dyDescent="0.3">
      <c r="B77" s="8">
        <v>265</v>
      </c>
      <c r="C77" s="8">
        <v>302</v>
      </c>
    </row>
    <row r="78" spans="2:3" x14ac:dyDescent="0.3">
      <c r="B78" s="8">
        <v>249</v>
      </c>
      <c r="C78" s="8">
        <v>278</v>
      </c>
    </row>
    <row r="79" spans="2:3" x14ac:dyDescent="0.3">
      <c r="B79" s="8">
        <v>377</v>
      </c>
      <c r="C79" s="8">
        <v>429</v>
      </c>
    </row>
    <row r="80" spans="2:3" x14ac:dyDescent="0.3">
      <c r="B80" s="8">
        <v>301</v>
      </c>
      <c r="C80" s="8">
        <v>338</v>
      </c>
    </row>
    <row r="81" spans="2:3" x14ac:dyDescent="0.3">
      <c r="B81" s="8">
        <v>242</v>
      </c>
      <c r="C81" s="8">
        <v>261</v>
      </c>
    </row>
    <row r="82" spans="2:3" x14ac:dyDescent="0.3">
      <c r="B82" s="8">
        <v>211</v>
      </c>
      <c r="C82" s="8">
        <v>256</v>
      </c>
    </row>
    <row r="83" spans="2:3" x14ac:dyDescent="0.3">
      <c r="B83" s="8">
        <v>160</v>
      </c>
      <c r="C83" s="8">
        <v>183</v>
      </c>
    </row>
    <row r="84" spans="2:3" x14ac:dyDescent="0.3">
      <c r="B84" s="8">
        <v>218</v>
      </c>
      <c r="C84" s="8">
        <v>274</v>
      </c>
    </row>
    <row r="85" spans="2:3" x14ac:dyDescent="0.3">
      <c r="B85" s="8">
        <v>133</v>
      </c>
      <c r="C85" s="8">
        <v>182</v>
      </c>
    </row>
    <row r="86" spans="2:3" x14ac:dyDescent="0.3">
      <c r="B86" s="8">
        <v>122</v>
      </c>
      <c r="C86" s="8">
        <v>183</v>
      </c>
    </row>
    <row r="87" spans="2:3" x14ac:dyDescent="0.3">
      <c r="B87" s="8">
        <v>236</v>
      </c>
      <c r="C87" s="8">
        <v>309</v>
      </c>
    </row>
    <row r="88" spans="2:3" x14ac:dyDescent="0.3">
      <c r="B88" s="8">
        <v>143</v>
      </c>
      <c r="C88" s="8">
        <v>178</v>
      </c>
    </row>
    <row r="89" spans="2:3" x14ac:dyDescent="0.3">
      <c r="B89" s="8">
        <v>354</v>
      </c>
      <c r="C89" s="8">
        <v>458</v>
      </c>
    </row>
    <row r="90" spans="2:3" x14ac:dyDescent="0.3">
      <c r="B90" s="8">
        <v>214</v>
      </c>
      <c r="C90" s="8">
        <v>234</v>
      </c>
    </row>
    <row r="91" spans="2:3" x14ac:dyDescent="0.3">
      <c r="B91" s="8">
        <v>225</v>
      </c>
      <c r="C91" s="8">
        <v>306</v>
      </c>
    </row>
    <row r="92" spans="2:3" x14ac:dyDescent="0.3">
      <c r="B92" s="8">
        <v>261</v>
      </c>
      <c r="C92" s="8">
        <v>400</v>
      </c>
    </row>
    <row r="93" spans="2:3" x14ac:dyDescent="0.3">
      <c r="B93" s="8">
        <v>277</v>
      </c>
      <c r="C93" s="8">
        <v>337</v>
      </c>
    </row>
    <row r="94" spans="2:3" x14ac:dyDescent="0.3">
      <c r="B94" s="8">
        <v>282</v>
      </c>
      <c r="C94" s="8">
        <v>325</v>
      </c>
    </row>
    <row r="95" spans="2:3" x14ac:dyDescent="0.3">
      <c r="B95" s="8">
        <v>322</v>
      </c>
      <c r="C95" s="8">
        <v>329</v>
      </c>
    </row>
    <row r="96" spans="2:3" x14ac:dyDescent="0.3">
      <c r="B96" s="8">
        <v>326</v>
      </c>
      <c r="C96" s="8">
        <v>369</v>
      </c>
    </row>
    <row r="97" spans="2:3" x14ac:dyDescent="0.3">
      <c r="B97" s="8">
        <v>421</v>
      </c>
      <c r="C97" s="8">
        <v>457</v>
      </c>
    </row>
    <row r="98" spans="2:3" x14ac:dyDescent="0.3">
      <c r="B98" s="8">
        <v>368</v>
      </c>
      <c r="C98" s="8">
        <v>421</v>
      </c>
    </row>
    <row r="99" spans="2:3" x14ac:dyDescent="0.3">
      <c r="B99" s="8">
        <v>279</v>
      </c>
      <c r="C99" s="8">
        <v>282</v>
      </c>
    </row>
    <row r="100" spans="2:3" x14ac:dyDescent="0.3">
      <c r="B100" s="8">
        <v>268</v>
      </c>
      <c r="C100" s="8">
        <v>256</v>
      </c>
    </row>
  </sheetData>
  <mergeCells count="1">
    <mergeCell ref="E5:G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AEAF-3DF5-44BA-A716-C330C5ECF812}">
  <sheetPr codeName="Sheet11">
    <tabColor theme="4" tint="0.79998168889431442"/>
  </sheetPr>
  <dimension ref="B1:K100"/>
  <sheetViews>
    <sheetView showGridLines="0" workbookViewId="0">
      <selection activeCell="I4" sqref="I4"/>
    </sheetView>
  </sheetViews>
  <sheetFormatPr defaultRowHeight="14.4" x14ac:dyDescent="0.3"/>
  <cols>
    <col min="1" max="1" width="2.88671875" customWidth="1"/>
    <col min="2" max="2" width="21.44140625" bestFit="1" customWidth="1"/>
    <col min="3" max="3" width="19.88671875" bestFit="1" customWidth="1"/>
  </cols>
  <sheetData>
    <row r="1" spans="2:11" ht="25.5" customHeight="1" x14ac:dyDescent="0.35">
      <c r="B1" s="17" t="s">
        <v>113</v>
      </c>
    </row>
    <row r="2" spans="2:11" ht="15" customHeight="1" x14ac:dyDescent="0.3">
      <c r="B2" s="27" t="s">
        <v>254</v>
      </c>
    </row>
    <row r="3" spans="2:11" ht="18" customHeight="1" x14ac:dyDescent="0.3"/>
    <row r="4" spans="2:11" x14ac:dyDescent="0.3">
      <c r="E4" s="3"/>
      <c r="I4" s="3"/>
    </row>
    <row r="5" spans="2:11" x14ac:dyDescent="0.3">
      <c r="B5" s="7" t="s">
        <v>21</v>
      </c>
      <c r="C5" s="7" t="s">
        <v>22</v>
      </c>
      <c r="E5" s="108" t="s">
        <v>56</v>
      </c>
      <c r="F5" s="108"/>
      <c r="G5" s="108"/>
      <c r="I5" s="109" t="s">
        <v>56</v>
      </c>
      <c r="J5" s="109"/>
      <c r="K5" s="109"/>
    </row>
    <row r="6" spans="2:11" x14ac:dyDescent="0.3">
      <c r="B6" s="8">
        <v>252</v>
      </c>
      <c r="C6" s="8">
        <v>276</v>
      </c>
      <c r="F6" s="16" t="s">
        <v>53</v>
      </c>
      <c r="G6" s="16" t="s">
        <v>54</v>
      </c>
      <c r="J6" s="16" t="s">
        <v>53</v>
      </c>
      <c r="K6" s="16" t="s">
        <v>54</v>
      </c>
    </row>
    <row r="7" spans="2:11" x14ac:dyDescent="0.3">
      <c r="B7" s="8">
        <v>423</v>
      </c>
      <c r="C7" s="8">
        <v>410</v>
      </c>
      <c r="E7" s="19" t="s">
        <v>28</v>
      </c>
      <c r="F7" s="65">
        <f>MIN(B6:B100)</f>
        <v>62</v>
      </c>
      <c r="G7" s="65">
        <f>MIN(C6:C100)</f>
        <v>102</v>
      </c>
      <c r="I7" s="19" t="s">
        <v>28</v>
      </c>
      <c r="J7" s="65" cm="1">
        <f t="array" ref="J7:J11">_xlfn.QUARTILE.INC(B6:B100,_xlfn.SEQUENCE(5,,0,1))</f>
        <v>62</v>
      </c>
      <c r="K7" s="65" cm="1">
        <f t="array" ref="K7:K11">_xlfn.QUARTILE.INC(C6:C100,_xlfn.SEQUENCE(5,,0,1))</f>
        <v>102</v>
      </c>
    </row>
    <row r="8" spans="2:11" x14ac:dyDescent="0.3">
      <c r="B8" s="8">
        <v>101</v>
      </c>
      <c r="C8" s="8">
        <v>119</v>
      </c>
      <c r="E8" s="19" t="s">
        <v>57</v>
      </c>
      <c r="F8" s="65">
        <f>_xlfn.QUARTILE.INC(B6:B100,1)</f>
        <v>181.5</v>
      </c>
      <c r="G8" s="65">
        <f>_xlfn.QUARTILE.INC(C6:C100,1)</f>
        <v>228</v>
      </c>
      <c r="I8" s="19" t="s">
        <v>57</v>
      </c>
      <c r="J8" s="65">
        <v>181.5</v>
      </c>
      <c r="K8" s="65">
        <v>228</v>
      </c>
    </row>
    <row r="9" spans="2:11" x14ac:dyDescent="0.3">
      <c r="B9" s="8">
        <v>288</v>
      </c>
      <c r="C9" s="8">
        <v>334</v>
      </c>
      <c r="E9" s="19" t="s">
        <v>42</v>
      </c>
      <c r="F9" s="65">
        <f>MEDIAN(B6:B100)</f>
        <v>236</v>
      </c>
      <c r="G9" s="65">
        <f>MEDIAN(C6:C100)</f>
        <v>286</v>
      </c>
      <c r="I9" s="19" t="s">
        <v>42</v>
      </c>
      <c r="J9" s="65">
        <v>236</v>
      </c>
      <c r="K9" s="65">
        <v>286</v>
      </c>
    </row>
    <row r="10" spans="2:11" x14ac:dyDescent="0.3">
      <c r="B10" s="8">
        <v>248</v>
      </c>
      <c r="C10" s="8">
        <v>252</v>
      </c>
      <c r="E10" s="19" t="s">
        <v>58</v>
      </c>
      <c r="F10" s="65">
        <f>_xlfn.QUARTILE.INC(B6:B100,3)</f>
        <v>287</v>
      </c>
      <c r="G10" s="65">
        <f>_xlfn.QUARTILE.INC(C6:C100,3)</f>
        <v>348</v>
      </c>
      <c r="I10" s="19" t="s">
        <v>58</v>
      </c>
      <c r="J10" s="65">
        <v>287</v>
      </c>
      <c r="K10" s="65">
        <v>348</v>
      </c>
    </row>
    <row r="11" spans="2:11" x14ac:dyDescent="0.3">
      <c r="B11" s="8">
        <v>145</v>
      </c>
      <c r="C11" s="8">
        <v>209</v>
      </c>
      <c r="E11" s="19" t="s">
        <v>27</v>
      </c>
      <c r="F11" s="65">
        <f>MAX(B6:B100)</f>
        <v>423</v>
      </c>
      <c r="G11" s="65">
        <f>MAX(C6:C100)</f>
        <v>481</v>
      </c>
      <c r="I11" s="19" t="s">
        <v>27</v>
      </c>
      <c r="J11" s="65">
        <v>423</v>
      </c>
      <c r="K11" s="65">
        <v>481</v>
      </c>
    </row>
    <row r="12" spans="2:11" x14ac:dyDescent="0.3">
      <c r="B12" s="8">
        <v>401</v>
      </c>
      <c r="C12" s="8">
        <v>462</v>
      </c>
      <c r="E12" s="19" t="s">
        <v>59</v>
      </c>
      <c r="F12" s="65">
        <f>F10-F8</f>
        <v>105.5</v>
      </c>
      <c r="G12" s="65">
        <f>G10-G8</f>
        <v>120</v>
      </c>
      <c r="I12" s="19" t="s">
        <v>59</v>
      </c>
      <c r="J12" s="65">
        <f>J10-J8</f>
        <v>105.5</v>
      </c>
      <c r="K12" s="65">
        <f>K10-K8</f>
        <v>120</v>
      </c>
    </row>
    <row r="13" spans="2:11" x14ac:dyDescent="0.3">
      <c r="B13" s="8">
        <v>287</v>
      </c>
      <c r="C13" s="8">
        <v>342</v>
      </c>
      <c r="E13" s="19"/>
    </row>
    <row r="14" spans="2:11" x14ac:dyDescent="0.3">
      <c r="B14" s="8">
        <v>275</v>
      </c>
      <c r="C14" s="8">
        <v>347</v>
      </c>
    </row>
    <row r="15" spans="2:11" x14ac:dyDescent="0.3">
      <c r="B15" s="8">
        <v>254</v>
      </c>
      <c r="C15" s="8">
        <v>313</v>
      </c>
    </row>
    <row r="16" spans="2:11" x14ac:dyDescent="0.3">
      <c r="B16" s="8">
        <v>182</v>
      </c>
      <c r="C16" s="8">
        <v>232</v>
      </c>
    </row>
    <row r="17" spans="2:3" x14ac:dyDescent="0.3">
      <c r="B17" s="8">
        <v>117</v>
      </c>
      <c r="C17" s="8">
        <v>163</v>
      </c>
    </row>
    <row r="18" spans="2:3" x14ac:dyDescent="0.3">
      <c r="B18" s="8">
        <v>130</v>
      </c>
      <c r="C18" s="8">
        <v>119</v>
      </c>
    </row>
    <row r="19" spans="2:3" x14ac:dyDescent="0.3">
      <c r="B19" s="8">
        <v>219</v>
      </c>
      <c r="C19" s="8">
        <v>304</v>
      </c>
    </row>
    <row r="20" spans="2:3" x14ac:dyDescent="0.3">
      <c r="B20" s="8">
        <v>152</v>
      </c>
      <c r="C20" s="8">
        <v>211</v>
      </c>
    </row>
    <row r="21" spans="2:3" x14ac:dyDescent="0.3">
      <c r="B21" s="8">
        <v>228</v>
      </c>
      <c r="C21" s="8">
        <v>286</v>
      </c>
    </row>
    <row r="22" spans="2:3" x14ac:dyDescent="0.3">
      <c r="B22" s="8">
        <v>62</v>
      </c>
      <c r="C22" s="8">
        <v>122</v>
      </c>
    </row>
    <row r="23" spans="2:3" x14ac:dyDescent="0.3">
      <c r="B23" s="8">
        <v>393</v>
      </c>
      <c r="C23" s="8">
        <v>443</v>
      </c>
    </row>
    <row r="24" spans="2:3" x14ac:dyDescent="0.3">
      <c r="B24" s="8">
        <v>277</v>
      </c>
      <c r="C24" s="8">
        <v>366</v>
      </c>
    </row>
    <row r="25" spans="2:3" x14ac:dyDescent="0.3">
      <c r="B25" s="8">
        <v>206</v>
      </c>
      <c r="C25" s="8">
        <v>244</v>
      </c>
    </row>
    <row r="26" spans="2:3" x14ac:dyDescent="0.3">
      <c r="B26" s="8">
        <v>229</v>
      </c>
      <c r="C26" s="8">
        <v>241</v>
      </c>
    </row>
    <row r="27" spans="2:3" x14ac:dyDescent="0.3">
      <c r="B27" s="8">
        <v>182</v>
      </c>
      <c r="C27" s="8">
        <v>237</v>
      </c>
    </row>
    <row r="28" spans="2:3" x14ac:dyDescent="0.3">
      <c r="B28" s="8">
        <v>98</v>
      </c>
      <c r="C28" s="8">
        <v>122</v>
      </c>
    </row>
    <row r="29" spans="2:3" x14ac:dyDescent="0.3">
      <c r="B29" s="8">
        <v>125</v>
      </c>
      <c r="C29" s="8">
        <v>129</v>
      </c>
    </row>
    <row r="30" spans="2:3" x14ac:dyDescent="0.3">
      <c r="B30" s="8">
        <v>164</v>
      </c>
      <c r="C30" s="8">
        <v>236</v>
      </c>
    </row>
    <row r="31" spans="2:3" x14ac:dyDescent="0.3">
      <c r="B31" s="8">
        <v>186</v>
      </c>
      <c r="C31" s="8">
        <v>251</v>
      </c>
    </row>
    <row r="32" spans="2:3" x14ac:dyDescent="0.3">
      <c r="B32" s="8">
        <v>235</v>
      </c>
      <c r="C32" s="8">
        <v>283</v>
      </c>
    </row>
    <row r="33" spans="2:3" x14ac:dyDescent="0.3">
      <c r="B33" s="8">
        <v>184</v>
      </c>
      <c r="C33" s="8">
        <v>225</v>
      </c>
    </row>
    <row r="34" spans="2:3" x14ac:dyDescent="0.3">
      <c r="B34" s="8">
        <v>76</v>
      </c>
      <c r="C34" s="8">
        <v>102</v>
      </c>
    </row>
    <row r="35" spans="2:3" x14ac:dyDescent="0.3">
      <c r="B35" s="8">
        <v>126</v>
      </c>
      <c r="C35" s="8">
        <v>180</v>
      </c>
    </row>
    <row r="36" spans="2:3" x14ac:dyDescent="0.3">
      <c r="B36" s="8">
        <v>183</v>
      </c>
      <c r="C36" s="8">
        <v>247</v>
      </c>
    </row>
    <row r="37" spans="2:3" x14ac:dyDescent="0.3">
      <c r="B37" s="8">
        <v>242</v>
      </c>
      <c r="C37" s="8">
        <v>343</v>
      </c>
    </row>
    <row r="38" spans="2:3" x14ac:dyDescent="0.3">
      <c r="B38" s="8">
        <v>207</v>
      </c>
      <c r="C38" s="8">
        <v>283</v>
      </c>
    </row>
    <row r="39" spans="2:3" x14ac:dyDescent="0.3">
      <c r="B39" s="8">
        <v>181</v>
      </c>
      <c r="C39" s="8">
        <v>253</v>
      </c>
    </row>
    <row r="40" spans="2:3" x14ac:dyDescent="0.3">
      <c r="B40" s="8">
        <v>239</v>
      </c>
      <c r="C40" s="8">
        <v>263</v>
      </c>
    </row>
    <row r="41" spans="2:3" x14ac:dyDescent="0.3">
      <c r="B41" s="8">
        <v>216</v>
      </c>
      <c r="C41" s="8">
        <v>291</v>
      </c>
    </row>
    <row r="42" spans="2:3" x14ac:dyDescent="0.3">
      <c r="B42" s="8">
        <v>289</v>
      </c>
      <c r="C42" s="8">
        <v>368</v>
      </c>
    </row>
    <row r="43" spans="2:3" x14ac:dyDescent="0.3">
      <c r="B43" s="8">
        <v>213</v>
      </c>
      <c r="C43" s="8">
        <v>206</v>
      </c>
    </row>
    <row r="44" spans="2:3" x14ac:dyDescent="0.3">
      <c r="B44" s="8">
        <v>209</v>
      </c>
      <c r="C44" s="8">
        <v>231</v>
      </c>
    </row>
    <row r="45" spans="2:3" x14ac:dyDescent="0.3">
      <c r="B45" s="8">
        <v>376</v>
      </c>
      <c r="C45" s="8">
        <v>389</v>
      </c>
    </row>
    <row r="46" spans="2:3" x14ac:dyDescent="0.3">
      <c r="B46" s="8">
        <v>332</v>
      </c>
      <c r="C46" s="8">
        <v>396</v>
      </c>
    </row>
    <row r="47" spans="2:3" x14ac:dyDescent="0.3">
      <c r="B47" s="8">
        <v>249</v>
      </c>
      <c r="C47" s="8">
        <v>339</v>
      </c>
    </row>
    <row r="48" spans="2:3" x14ac:dyDescent="0.3">
      <c r="B48" s="8">
        <v>228</v>
      </c>
      <c r="C48" s="8">
        <v>286</v>
      </c>
    </row>
    <row r="49" spans="2:3" x14ac:dyDescent="0.3">
      <c r="B49" s="8">
        <v>124</v>
      </c>
      <c r="C49" s="8">
        <v>146</v>
      </c>
    </row>
    <row r="50" spans="2:3" x14ac:dyDescent="0.3">
      <c r="B50" s="8">
        <v>194</v>
      </c>
      <c r="C50" s="8">
        <v>315</v>
      </c>
    </row>
    <row r="51" spans="2:3" x14ac:dyDescent="0.3">
      <c r="B51" s="8">
        <v>157</v>
      </c>
      <c r="C51" s="8">
        <v>183</v>
      </c>
    </row>
    <row r="52" spans="2:3" x14ac:dyDescent="0.3">
      <c r="B52" s="8">
        <v>402</v>
      </c>
      <c r="C52" s="8">
        <v>481</v>
      </c>
    </row>
    <row r="53" spans="2:3" x14ac:dyDescent="0.3">
      <c r="B53" s="8">
        <v>323</v>
      </c>
      <c r="C53" s="8">
        <v>349</v>
      </c>
    </row>
    <row r="54" spans="2:3" x14ac:dyDescent="0.3">
      <c r="B54" s="8">
        <v>181</v>
      </c>
      <c r="C54" s="8">
        <v>225</v>
      </c>
    </row>
    <row r="55" spans="2:3" x14ac:dyDescent="0.3">
      <c r="B55" s="8">
        <v>157</v>
      </c>
      <c r="C55" s="8">
        <v>217</v>
      </c>
    </row>
    <row r="56" spans="2:3" x14ac:dyDescent="0.3">
      <c r="B56" s="8">
        <v>266</v>
      </c>
      <c r="C56" s="8">
        <v>353</v>
      </c>
    </row>
    <row r="57" spans="2:3" x14ac:dyDescent="0.3">
      <c r="B57" s="8">
        <v>268</v>
      </c>
      <c r="C57" s="8">
        <v>314</v>
      </c>
    </row>
    <row r="58" spans="2:3" x14ac:dyDescent="0.3">
      <c r="B58" s="8">
        <v>167</v>
      </c>
      <c r="C58" s="8">
        <v>247</v>
      </c>
    </row>
    <row r="59" spans="2:3" x14ac:dyDescent="0.3">
      <c r="B59" s="8">
        <v>342</v>
      </c>
      <c r="C59" s="8">
        <v>410</v>
      </c>
    </row>
    <row r="60" spans="2:3" x14ac:dyDescent="0.3">
      <c r="B60" s="8">
        <v>349</v>
      </c>
      <c r="C60" s="8">
        <v>395</v>
      </c>
    </row>
    <row r="61" spans="2:3" x14ac:dyDescent="0.3">
      <c r="B61" s="8">
        <v>340</v>
      </c>
      <c r="C61" s="8">
        <v>416</v>
      </c>
    </row>
    <row r="62" spans="2:3" x14ac:dyDescent="0.3">
      <c r="B62" s="8">
        <v>227</v>
      </c>
      <c r="C62" s="8">
        <v>342</v>
      </c>
    </row>
    <row r="63" spans="2:3" x14ac:dyDescent="0.3">
      <c r="B63" s="8">
        <v>409</v>
      </c>
      <c r="C63" s="8">
        <v>446</v>
      </c>
    </row>
    <row r="64" spans="2:3" x14ac:dyDescent="0.3">
      <c r="B64" s="8">
        <v>400</v>
      </c>
      <c r="C64" s="8">
        <v>477</v>
      </c>
    </row>
    <row r="65" spans="2:3" x14ac:dyDescent="0.3">
      <c r="B65" s="8">
        <v>374</v>
      </c>
      <c r="C65" s="8">
        <v>444</v>
      </c>
    </row>
    <row r="66" spans="2:3" x14ac:dyDescent="0.3">
      <c r="B66" s="8">
        <v>255</v>
      </c>
      <c r="C66" s="8">
        <v>351</v>
      </c>
    </row>
    <row r="67" spans="2:3" x14ac:dyDescent="0.3">
      <c r="B67" s="8">
        <v>146</v>
      </c>
      <c r="C67" s="8">
        <v>165</v>
      </c>
    </row>
    <row r="68" spans="2:3" x14ac:dyDescent="0.3">
      <c r="B68" s="8">
        <v>248</v>
      </c>
      <c r="C68" s="8">
        <v>317</v>
      </c>
    </row>
    <row r="69" spans="2:3" x14ac:dyDescent="0.3">
      <c r="B69" s="8">
        <v>198</v>
      </c>
      <c r="C69" s="8">
        <v>250</v>
      </c>
    </row>
    <row r="70" spans="2:3" x14ac:dyDescent="0.3">
      <c r="B70" s="8">
        <v>210</v>
      </c>
      <c r="C70" s="8">
        <v>217</v>
      </c>
    </row>
    <row r="71" spans="2:3" x14ac:dyDescent="0.3">
      <c r="B71" s="8">
        <v>107</v>
      </c>
      <c r="C71" s="8">
        <v>138</v>
      </c>
    </row>
    <row r="72" spans="2:3" x14ac:dyDescent="0.3">
      <c r="B72" s="8">
        <v>239</v>
      </c>
      <c r="C72" s="8">
        <v>302</v>
      </c>
    </row>
    <row r="73" spans="2:3" x14ac:dyDescent="0.3">
      <c r="B73" s="8">
        <v>287</v>
      </c>
      <c r="C73" s="8">
        <v>311</v>
      </c>
    </row>
    <row r="74" spans="2:3" x14ac:dyDescent="0.3">
      <c r="B74" s="8">
        <v>340</v>
      </c>
      <c r="C74" s="8">
        <v>373</v>
      </c>
    </row>
    <row r="75" spans="2:3" x14ac:dyDescent="0.3">
      <c r="B75" s="8">
        <v>155</v>
      </c>
      <c r="C75" s="8">
        <v>196</v>
      </c>
    </row>
    <row r="76" spans="2:3" x14ac:dyDescent="0.3">
      <c r="B76" s="8">
        <v>263</v>
      </c>
      <c r="C76" s="8">
        <v>306</v>
      </c>
    </row>
    <row r="77" spans="2:3" x14ac:dyDescent="0.3">
      <c r="B77" s="8">
        <v>265</v>
      </c>
      <c r="C77" s="8">
        <v>302</v>
      </c>
    </row>
    <row r="78" spans="2:3" x14ac:dyDescent="0.3">
      <c r="B78" s="8">
        <v>249</v>
      </c>
      <c r="C78" s="8">
        <v>278</v>
      </c>
    </row>
    <row r="79" spans="2:3" x14ac:dyDescent="0.3">
      <c r="B79" s="8">
        <v>377</v>
      </c>
      <c r="C79" s="8">
        <v>429</v>
      </c>
    </row>
    <row r="80" spans="2:3" x14ac:dyDescent="0.3">
      <c r="B80" s="8">
        <v>301</v>
      </c>
      <c r="C80" s="8">
        <v>338</v>
      </c>
    </row>
    <row r="81" spans="2:3" x14ac:dyDescent="0.3">
      <c r="B81" s="8">
        <v>242</v>
      </c>
      <c r="C81" s="8">
        <v>261</v>
      </c>
    </row>
    <row r="82" spans="2:3" x14ac:dyDescent="0.3">
      <c r="B82" s="8">
        <v>211</v>
      </c>
      <c r="C82" s="8">
        <v>256</v>
      </c>
    </row>
    <row r="83" spans="2:3" x14ac:dyDescent="0.3">
      <c r="B83" s="8">
        <v>160</v>
      </c>
      <c r="C83" s="8">
        <v>183</v>
      </c>
    </row>
    <row r="84" spans="2:3" x14ac:dyDescent="0.3">
      <c r="B84" s="8">
        <v>218</v>
      </c>
      <c r="C84" s="8">
        <v>274</v>
      </c>
    </row>
    <row r="85" spans="2:3" x14ac:dyDescent="0.3">
      <c r="B85" s="8">
        <v>133</v>
      </c>
      <c r="C85" s="8">
        <v>182</v>
      </c>
    </row>
    <row r="86" spans="2:3" x14ac:dyDescent="0.3">
      <c r="B86" s="8">
        <v>122</v>
      </c>
      <c r="C86" s="8">
        <v>183</v>
      </c>
    </row>
    <row r="87" spans="2:3" x14ac:dyDescent="0.3">
      <c r="B87" s="8">
        <v>236</v>
      </c>
      <c r="C87" s="8">
        <v>309</v>
      </c>
    </row>
    <row r="88" spans="2:3" x14ac:dyDescent="0.3">
      <c r="B88" s="8">
        <v>143</v>
      </c>
      <c r="C88" s="8">
        <v>178</v>
      </c>
    </row>
    <row r="89" spans="2:3" x14ac:dyDescent="0.3">
      <c r="B89" s="8">
        <v>354</v>
      </c>
      <c r="C89" s="8">
        <v>458</v>
      </c>
    </row>
    <row r="90" spans="2:3" x14ac:dyDescent="0.3">
      <c r="B90" s="8">
        <v>214</v>
      </c>
      <c r="C90" s="8">
        <v>234</v>
      </c>
    </row>
    <row r="91" spans="2:3" x14ac:dyDescent="0.3">
      <c r="B91" s="8">
        <v>225</v>
      </c>
      <c r="C91" s="8">
        <v>306</v>
      </c>
    </row>
    <row r="92" spans="2:3" x14ac:dyDescent="0.3">
      <c r="B92" s="8">
        <v>261</v>
      </c>
      <c r="C92" s="8">
        <v>400</v>
      </c>
    </row>
    <row r="93" spans="2:3" x14ac:dyDescent="0.3">
      <c r="B93" s="8">
        <v>277</v>
      </c>
      <c r="C93" s="8">
        <v>337</v>
      </c>
    </row>
    <row r="94" spans="2:3" x14ac:dyDescent="0.3">
      <c r="B94" s="8">
        <v>282</v>
      </c>
      <c r="C94" s="8">
        <v>325</v>
      </c>
    </row>
    <row r="95" spans="2:3" x14ac:dyDescent="0.3">
      <c r="B95" s="8">
        <v>322</v>
      </c>
      <c r="C95" s="8">
        <v>329</v>
      </c>
    </row>
    <row r="96" spans="2:3" x14ac:dyDescent="0.3">
      <c r="B96" s="8">
        <v>326</v>
      </c>
      <c r="C96" s="8">
        <v>369</v>
      </c>
    </row>
    <row r="97" spans="2:3" x14ac:dyDescent="0.3">
      <c r="B97" s="8">
        <v>421</v>
      </c>
      <c r="C97" s="8">
        <v>457</v>
      </c>
    </row>
    <row r="98" spans="2:3" x14ac:dyDescent="0.3">
      <c r="B98" s="8">
        <v>368</v>
      </c>
      <c r="C98" s="8">
        <v>421</v>
      </c>
    </row>
    <row r="99" spans="2:3" x14ac:dyDescent="0.3">
      <c r="B99" s="8">
        <v>279</v>
      </c>
      <c r="C99" s="8">
        <v>282</v>
      </c>
    </row>
    <row r="100" spans="2:3" x14ac:dyDescent="0.3">
      <c r="B100" s="8">
        <v>268</v>
      </c>
      <c r="C100" s="8">
        <v>256</v>
      </c>
    </row>
  </sheetData>
  <mergeCells count="2">
    <mergeCell ref="E5:G5"/>
    <mergeCell ref="I5:K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32F70-2147-4FCC-BD59-7EAE2C0B7E3E}">
  <sheetPr codeName="Sheet12">
    <tabColor theme="4" tint="0.79998168889431442"/>
  </sheetPr>
  <dimension ref="B1:C100"/>
  <sheetViews>
    <sheetView showGridLines="0" workbookViewId="0">
      <selection activeCell="O14" sqref="O14"/>
    </sheetView>
  </sheetViews>
  <sheetFormatPr defaultRowHeight="14.4" x14ac:dyDescent="0.3"/>
  <cols>
    <col min="1" max="1" width="2.88671875" customWidth="1"/>
    <col min="2" max="2" width="21.44140625" bestFit="1" customWidth="1"/>
    <col min="3" max="3" width="19.88671875" bestFit="1" customWidth="1"/>
  </cols>
  <sheetData>
    <row r="1" spans="2:3" ht="25.5" customHeight="1" x14ac:dyDescent="0.35">
      <c r="B1" s="17" t="s">
        <v>113</v>
      </c>
    </row>
    <row r="2" spans="2:3" ht="15" customHeight="1" x14ac:dyDescent="0.3">
      <c r="B2" s="27" t="s">
        <v>8</v>
      </c>
    </row>
    <row r="3" spans="2:3" ht="18" customHeight="1" x14ac:dyDescent="0.3"/>
    <row r="5" spans="2:3" x14ac:dyDescent="0.3">
      <c r="B5" s="7" t="s">
        <v>21</v>
      </c>
      <c r="C5" s="7" t="s">
        <v>22</v>
      </c>
    </row>
    <row r="6" spans="2:3" x14ac:dyDescent="0.3">
      <c r="B6" s="8">
        <v>252</v>
      </c>
      <c r="C6" s="8">
        <v>276</v>
      </c>
    </row>
    <row r="7" spans="2:3" x14ac:dyDescent="0.3">
      <c r="B7" s="8">
        <v>423</v>
      </c>
      <c r="C7" s="8">
        <v>410</v>
      </c>
    </row>
    <row r="8" spans="2:3" x14ac:dyDescent="0.3">
      <c r="B8" s="8">
        <v>101</v>
      </c>
      <c r="C8" s="8">
        <v>119</v>
      </c>
    </row>
    <row r="9" spans="2:3" x14ac:dyDescent="0.3">
      <c r="B9" s="8">
        <v>288</v>
      </c>
      <c r="C9" s="8">
        <v>334</v>
      </c>
    </row>
    <row r="10" spans="2:3" x14ac:dyDescent="0.3">
      <c r="B10" s="8">
        <v>248</v>
      </c>
      <c r="C10" s="8">
        <v>252</v>
      </c>
    </row>
    <row r="11" spans="2:3" x14ac:dyDescent="0.3">
      <c r="B11" s="8">
        <v>145</v>
      </c>
      <c r="C11" s="8">
        <v>209</v>
      </c>
    </row>
    <row r="12" spans="2:3" x14ac:dyDescent="0.3">
      <c r="B12" s="8">
        <v>401</v>
      </c>
      <c r="C12" s="8">
        <v>462</v>
      </c>
    </row>
    <row r="13" spans="2:3" x14ac:dyDescent="0.3">
      <c r="B13" s="8">
        <v>287</v>
      </c>
      <c r="C13" s="8">
        <v>342</v>
      </c>
    </row>
    <row r="14" spans="2:3" x14ac:dyDescent="0.3">
      <c r="B14" s="8">
        <v>275</v>
      </c>
      <c r="C14" s="8">
        <v>347</v>
      </c>
    </row>
    <row r="15" spans="2:3" x14ac:dyDescent="0.3">
      <c r="B15" s="8">
        <v>254</v>
      </c>
      <c r="C15" s="8">
        <v>313</v>
      </c>
    </row>
    <row r="16" spans="2:3" x14ac:dyDescent="0.3">
      <c r="B16" s="8">
        <v>182</v>
      </c>
      <c r="C16" s="8">
        <v>232</v>
      </c>
    </row>
    <row r="17" spans="2:3" x14ac:dyDescent="0.3">
      <c r="B17" s="8">
        <v>117</v>
      </c>
      <c r="C17" s="8">
        <v>163</v>
      </c>
    </row>
    <row r="18" spans="2:3" x14ac:dyDescent="0.3">
      <c r="B18" s="8">
        <v>130</v>
      </c>
      <c r="C18" s="8">
        <v>119</v>
      </c>
    </row>
    <row r="19" spans="2:3" x14ac:dyDescent="0.3">
      <c r="B19" s="8">
        <v>219</v>
      </c>
      <c r="C19" s="8">
        <v>304</v>
      </c>
    </row>
    <row r="20" spans="2:3" x14ac:dyDescent="0.3">
      <c r="B20" s="8">
        <v>152</v>
      </c>
      <c r="C20" s="8">
        <v>211</v>
      </c>
    </row>
    <row r="21" spans="2:3" x14ac:dyDescent="0.3">
      <c r="B21" s="8">
        <v>228</v>
      </c>
      <c r="C21" s="8">
        <v>286</v>
      </c>
    </row>
    <row r="22" spans="2:3" x14ac:dyDescent="0.3">
      <c r="B22" s="8">
        <v>62</v>
      </c>
      <c r="C22" s="8">
        <v>122</v>
      </c>
    </row>
    <row r="23" spans="2:3" x14ac:dyDescent="0.3">
      <c r="B23" s="8">
        <v>393</v>
      </c>
      <c r="C23" s="8">
        <v>443</v>
      </c>
    </row>
    <row r="24" spans="2:3" x14ac:dyDescent="0.3">
      <c r="B24" s="8">
        <v>277</v>
      </c>
      <c r="C24" s="8">
        <v>366</v>
      </c>
    </row>
    <row r="25" spans="2:3" x14ac:dyDescent="0.3">
      <c r="B25" s="8">
        <v>206</v>
      </c>
      <c r="C25" s="8">
        <v>244</v>
      </c>
    </row>
    <row r="26" spans="2:3" x14ac:dyDescent="0.3">
      <c r="B26" s="8">
        <v>229</v>
      </c>
      <c r="C26" s="8">
        <v>241</v>
      </c>
    </row>
    <row r="27" spans="2:3" x14ac:dyDescent="0.3">
      <c r="B27" s="8">
        <v>182</v>
      </c>
      <c r="C27" s="8">
        <v>237</v>
      </c>
    </row>
    <row r="28" spans="2:3" x14ac:dyDescent="0.3">
      <c r="B28" s="8">
        <v>98</v>
      </c>
      <c r="C28" s="8">
        <v>122</v>
      </c>
    </row>
    <row r="29" spans="2:3" x14ac:dyDescent="0.3">
      <c r="B29" s="8">
        <v>125</v>
      </c>
      <c r="C29" s="8">
        <v>129</v>
      </c>
    </row>
    <row r="30" spans="2:3" x14ac:dyDescent="0.3">
      <c r="B30" s="8">
        <v>164</v>
      </c>
      <c r="C30" s="8">
        <v>236</v>
      </c>
    </row>
    <row r="31" spans="2:3" x14ac:dyDescent="0.3">
      <c r="B31" s="8">
        <v>186</v>
      </c>
      <c r="C31" s="8">
        <v>251</v>
      </c>
    </row>
    <row r="32" spans="2:3" x14ac:dyDescent="0.3">
      <c r="B32" s="8">
        <v>235</v>
      </c>
      <c r="C32" s="8">
        <v>283</v>
      </c>
    </row>
    <row r="33" spans="2:3" x14ac:dyDescent="0.3">
      <c r="B33" s="8">
        <v>184</v>
      </c>
      <c r="C33" s="8">
        <v>225</v>
      </c>
    </row>
    <row r="34" spans="2:3" x14ac:dyDescent="0.3">
      <c r="B34" s="8">
        <v>76</v>
      </c>
      <c r="C34" s="8">
        <v>102</v>
      </c>
    </row>
    <row r="35" spans="2:3" x14ac:dyDescent="0.3">
      <c r="B35" s="8">
        <v>126</v>
      </c>
      <c r="C35" s="8">
        <v>180</v>
      </c>
    </row>
    <row r="36" spans="2:3" x14ac:dyDescent="0.3">
      <c r="B36" s="8">
        <v>183</v>
      </c>
      <c r="C36" s="8">
        <v>247</v>
      </c>
    </row>
    <row r="37" spans="2:3" x14ac:dyDescent="0.3">
      <c r="B37" s="8">
        <v>242</v>
      </c>
      <c r="C37" s="8">
        <v>343</v>
      </c>
    </row>
    <row r="38" spans="2:3" x14ac:dyDescent="0.3">
      <c r="B38" s="8">
        <v>207</v>
      </c>
      <c r="C38" s="8">
        <v>283</v>
      </c>
    </row>
    <row r="39" spans="2:3" x14ac:dyDescent="0.3">
      <c r="B39" s="8">
        <v>181</v>
      </c>
      <c r="C39" s="8">
        <v>253</v>
      </c>
    </row>
    <row r="40" spans="2:3" x14ac:dyDescent="0.3">
      <c r="B40" s="8">
        <v>239</v>
      </c>
      <c r="C40" s="8">
        <v>263</v>
      </c>
    </row>
    <row r="41" spans="2:3" x14ac:dyDescent="0.3">
      <c r="B41" s="8">
        <v>216</v>
      </c>
      <c r="C41" s="8">
        <v>291</v>
      </c>
    </row>
    <row r="42" spans="2:3" x14ac:dyDescent="0.3">
      <c r="B42" s="8">
        <v>289</v>
      </c>
      <c r="C42" s="8">
        <v>368</v>
      </c>
    </row>
    <row r="43" spans="2:3" x14ac:dyDescent="0.3">
      <c r="B43" s="8">
        <v>213</v>
      </c>
      <c r="C43" s="8">
        <v>206</v>
      </c>
    </row>
    <row r="44" spans="2:3" x14ac:dyDescent="0.3">
      <c r="B44" s="8">
        <v>209</v>
      </c>
      <c r="C44" s="8">
        <v>231</v>
      </c>
    </row>
    <row r="45" spans="2:3" x14ac:dyDescent="0.3">
      <c r="B45" s="8">
        <v>376</v>
      </c>
      <c r="C45" s="8">
        <v>389</v>
      </c>
    </row>
    <row r="46" spans="2:3" x14ac:dyDescent="0.3">
      <c r="B46" s="8">
        <v>332</v>
      </c>
      <c r="C46" s="8">
        <v>396</v>
      </c>
    </row>
    <row r="47" spans="2:3" x14ac:dyDescent="0.3">
      <c r="B47" s="8">
        <v>249</v>
      </c>
      <c r="C47" s="8">
        <v>339</v>
      </c>
    </row>
    <row r="48" spans="2:3" x14ac:dyDescent="0.3">
      <c r="B48" s="8">
        <v>228</v>
      </c>
      <c r="C48" s="8">
        <v>286</v>
      </c>
    </row>
    <row r="49" spans="2:3" x14ac:dyDescent="0.3">
      <c r="B49" s="8">
        <v>124</v>
      </c>
      <c r="C49" s="8">
        <v>146</v>
      </c>
    </row>
    <row r="50" spans="2:3" x14ac:dyDescent="0.3">
      <c r="B50" s="8">
        <v>194</v>
      </c>
      <c r="C50" s="8">
        <v>315</v>
      </c>
    </row>
    <row r="51" spans="2:3" x14ac:dyDescent="0.3">
      <c r="B51" s="8">
        <v>157</v>
      </c>
      <c r="C51" s="8">
        <v>183</v>
      </c>
    </row>
    <row r="52" spans="2:3" x14ac:dyDescent="0.3">
      <c r="B52" s="8">
        <v>402</v>
      </c>
      <c r="C52" s="8">
        <v>481</v>
      </c>
    </row>
    <row r="53" spans="2:3" x14ac:dyDescent="0.3">
      <c r="B53" s="8">
        <v>323</v>
      </c>
      <c r="C53" s="8">
        <v>349</v>
      </c>
    </row>
    <row r="54" spans="2:3" x14ac:dyDescent="0.3">
      <c r="B54" s="8">
        <v>181</v>
      </c>
      <c r="C54" s="8">
        <v>225</v>
      </c>
    </row>
    <row r="55" spans="2:3" x14ac:dyDescent="0.3">
      <c r="B55" s="8">
        <v>157</v>
      </c>
      <c r="C55" s="8">
        <v>217</v>
      </c>
    </row>
    <row r="56" spans="2:3" x14ac:dyDescent="0.3">
      <c r="B56" s="8">
        <v>266</v>
      </c>
      <c r="C56" s="8">
        <v>353</v>
      </c>
    </row>
    <row r="57" spans="2:3" x14ac:dyDescent="0.3">
      <c r="B57" s="8">
        <v>268</v>
      </c>
      <c r="C57" s="8">
        <v>314</v>
      </c>
    </row>
    <row r="58" spans="2:3" x14ac:dyDescent="0.3">
      <c r="B58" s="8">
        <v>167</v>
      </c>
      <c r="C58" s="8">
        <v>247</v>
      </c>
    </row>
    <row r="59" spans="2:3" x14ac:dyDescent="0.3">
      <c r="B59" s="8">
        <v>342</v>
      </c>
      <c r="C59" s="8">
        <v>410</v>
      </c>
    </row>
    <row r="60" spans="2:3" x14ac:dyDescent="0.3">
      <c r="B60" s="8">
        <v>349</v>
      </c>
      <c r="C60" s="8">
        <v>395</v>
      </c>
    </row>
    <row r="61" spans="2:3" x14ac:dyDescent="0.3">
      <c r="B61" s="8">
        <v>340</v>
      </c>
      <c r="C61" s="8">
        <v>416</v>
      </c>
    </row>
    <row r="62" spans="2:3" x14ac:dyDescent="0.3">
      <c r="B62" s="8">
        <v>227</v>
      </c>
      <c r="C62" s="8">
        <v>342</v>
      </c>
    </row>
    <row r="63" spans="2:3" x14ac:dyDescent="0.3">
      <c r="B63" s="8">
        <v>409</v>
      </c>
      <c r="C63" s="8">
        <v>446</v>
      </c>
    </row>
    <row r="64" spans="2:3" x14ac:dyDescent="0.3">
      <c r="B64" s="8">
        <v>400</v>
      </c>
      <c r="C64" s="8">
        <v>477</v>
      </c>
    </row>
    <row r="65" spans="2:3" x14ac:dyDescent="0.3">
      <c r="B65" s="8">
        <v>374</v>
      </c>
      <c r="C65" s="8">
        <v>444</v>
      </c>
    </row>
    <row r="66" spans="2:3" x14ac:dyDescent="0.3">
      <c r="B66" s="8">
        <v>255</v>
      </c>
      <c r="C66" s="8">
        <v>351</v>
      </c>
    </row>
    <row r="67" spans="2:3" x14ac:dyDescent="0.3">
      <c r="B67" s="8">
        <v>146</v>
      </c>
      <c r="C67" s="8">
        <v>165</v>
      </c>
    </row>
    <row r="68" spans="2:3" x14ac:dyDescent="0.3">
      <c r="B68" s="8">
        <v>248</v>
      </c>
      <c r="C68" s="8">
        <v>317</v>
      </c>
    </row>
    <row r="69" spans="2:3" x14ac:dyDescent="0.3">
      <c r="B69" s="8">
        <v>198</v>
      </c>
      <c r="C69" s="8">
        <v>250</v>
      </c>
    </row>
    <row r="70" spans="2:3" x14ac:dyDescent="0.3">
      <c r="B70" s="8">
        <v>210</v>
      </c>
      <c r="C70" s="8">
        <v>217</v>
      </c>
    </row>
    <row r="71" spans="2:3" x14ac:dyDescent="0.3">
      <c r="B71" s="8">
        <v>107</v>
      </c>
      <c r="C71" s="8">
        <v>138</v>
      </c>
    </row>
    <row r="72" spans="2:3" x14ac:dyDescent="0.3">
      <c r="B72" s="8">
        <v>239</v>
      </c>
      <c r="C72" s="8">
        <v>302</v>
      </c>
    </row>
    <row r="73" spans="2:3" x14ac:dyDescent="0.3">
      <c r="B73" s="8">
        <v>287</v>
      </c>
      <c r="C73" s="8">
        <v>311</v>
      </c>
    </row>
    <row r="74" spans="2:3" x14ac:dyDescent="0.3">
      <c r="B74" s="8">
        <v>340</v>
      </c>
      <c r="C74" s="8">
        <v>373</v>
      </c>
    </row>
    <row r="75" spans="2:3" x14ac:dyDescent="0.3">
      <c r="B75" s="8">
        <v>155</v>
      </c>
      <c r="C75" s="8">
        <v>196</v>
      </c>
    </row>
    <row r="76" spans="2:3" x14ac:dyDescent="0.3">
      <c r="B76" s="8">
        <v>263</v>
      </c>
      <c r="C76" s="8">
        <v>306</v>
      </c>
    </row>
    <row r="77" spans="2:3" x14ac:dyDescent="0.3">
      <c r="B77" s="8">
        <v>265</v>
      </c>
      <c r="C77" s="8">
        <v>302</v>
      </c>
    </row>
    <row r="78" spans="2:3" x14ac:dyDescent="0.3">
      <c r="B78" s="8">
        <v>249</v>
      </c>
      <c r="C78" s="8">
        <v>278</v>
      </c>
    </row>
    <row r="79" spans="2:3" x14ac:dyDescent="0.3">
      <c r="B79" s="8">
        <v>377</v>
      </c>
      <c r="C79" s="8">
        <v>429</v>
      </c>
    </row>
    <row r="80" spans="2:3" x14ac:dyDescent="0.3">
      <c r="B80" s="8">
        <v>301</v>
      </c>
      <c r="C80" s="8">
        <v>338</v>
      </c>
    </row>
    <row r="81" spans="2:3" x14ac:dyDescent="0.3">
      <c r="B81" s="8">
        <v>242</v>
      </c>
      <c r="C81" s="8">
        <v>261</v>
      </c>
    </row>
    <row r="82" spans="2:3" x14ac:dyDescent="0.3">
      <c r="B82" s="8">
        <v>211</v>
      </c>
      <c r="C82" s="8">
        <v>256</v>
      </c>
    </row>
    <row r="83" spans="2:3" x14ac:dyDescent="0.3">
      <c r="B83" s="8">
        <v>160</v>
      </c>
      <c r="C83" s="8">
        <v>183</v>
      </c>
    </row>
    <row r="84" spans="2:3" x14ac:dyDescent="0.3">
      <c r="B84" s="8">
        <v>218</v>
      </c>
      <c r="C84" s="8">
        <v>274</v>
      </c>
    </row>
    <row r="85" spans="2:3" x14ac:dyDescent="0.3">
      <c r="B85" s="8">
        <v>133</v>
      </c>
      <c r="C85" s="8">
        <v>182</v>
      </c>
    </row>
    <row r="86" spans="2:3" x14ac:dyDescent="0.3">
      <c r="B86" s="8">
        <v>122</v>
      </c>
      <c r="C86" s="8">
        <v>183</v>
      </c>
    </row>
    <row r="87" spans="2:3" x14ac:dyDescent="0.3">
      <c r="B87" s="8">
        <v>236</v>
      </c>
      <c r="C87" s="8">
        <v>309</v>
      </c>
    </row>
    <row r="88" spans="2:3" x14ac:dyDescent="0.3">
      <c r="B88" s="8">
        <v>143</v>
      </c>
      <c r="C88" s="8">
        <v>178</v>
      </c>
    </row>
    <row r="89" spans="2:3" x14ac:dyDescent="0.3">
      <c r="B89" s="8">
        <v>354</v>
      </c>
      <c r="C89" s="8">
        <v>458</v>
      </c>
    </row>
    <row r="90" spans="2:3" x14ac:dyDescent="0.3">
      <c r="B90" s="8">
        <v>214</v>
      </c>
      <c r="C90" s="8">
        <v>234</v>
      </c>
    </row>
    <row r="91" spans="2:3" x14ac:dyDescent="0.3">
      <c r="B91" s="8">
        <v>225</v>
      </c>
      <c r="C91" s="8">
        <v>306</v>
      </c>
    </row>
    <row r="92" spans="2:3" x14ac:dyDescent="0.3">
      <c r="B92" s="8">
        <v>261</v>
      </c>
      <c r="C92" s="8">
        <v>400</v>
      </c>
    </row>
    <row r="93" spans="2:3" x14ac:dyDescent="0.3">
      <c r="B93" s="8">
        <v>277</v>
      </c>
      <c r="C93" s="8">
        <v>337</v>
      </c>
    </row>
    <row r="94" spans="2:3" x14ac:dyDescent="0.3">
      <c r="B94" s="8">
        <v>282</v>
      </c>
      <c r="C94" s="8">
        <v>325</v>
      </c>
    </row>
    <row r="95" spans="2:3" x14ac:dyDescent="0.3">
      <c r="B95" s="8">
        <v>322</v>
      </c>
      <c r="C95" s="8">
        <v>329</v>
      </c>
    </row>
    <row r="96" spans="2:3" x14ac:dyDescent="0.3">
      <c r="B96" s="8">
        <v>326</v>
      </c>
      <c r="C96" s="8">
        <v>369</v>
      </c>
    </row>
    <row r="97" spans="2:3" x14ac:dyDescent="0.3">
      <c r="B97" s="8">
        <v>421</v>
      </c>
      <c r="C97" s="8">
        <v>457</v>
      </c>
    </row>
    <row r="98" spans="2:3" x14ac:dyDescent="0.3">
      <c r="B98" s="8">
        <v>368</v>
      </c>
      <c r="C98" s="8">
        <v>421</v>
      </c>
    </row>
    <row r="99" spans="2:3" x14ac:dyDescent="0.3">
      <c r="B99" s="8">
        <v>279</v>
      </c>
      <c r="C99" s="8">
        <v>282</v>
      </c>
    </row>
    <row r="100" spans="2:3" x14ac:dyDescent="0.3">
      <c r="B100" s="8">
        <v>268</v>
      </c>
      <c r="C100" s="8">
        <v>256</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012A-2340-4D8A-8182-E6E8F631D369}">
  <sheetPr codeName="Sheet13">
    <tabColor theme="4" tint="0.79998168889431442"/>
  </sheetPr>
  <dimension ref="B1:G100"/>
  <sheetViews>
    <sheetView showGridLines="0" workbookViewId="0">
      <selection activeCell="F4" sqref="F4"/>
    </sheetView>
  </sheetViews>
  <sheetFormatPr defaultRowHeight="14.4" x14ac:dyDescent="0.3"/>
  <cols>
    <col min="1" max="1" width="2.88671875" customWidth="1"/>
    <col min="2" max="2" width="21.44140625" bestFit="1" customWidth="1"/>
    <col min="3" max="3" width="19.88671875" bestFit="1" customWidth="1"/>
    <col min="4" max="4" width="26.33203125" bestFit="1" customWidth="1"/>
    <col min="6" max="6" width="20" customWidth="1"/>
    <col min="7" max="7" width="11.44140625" customWidth="1"/>
  </cols>
  <sheetData>
    <row r="1" spans="2:7" ht="25.5" customHeight="1" x14ac:dyDescent="0.35">
      <c r="B1" s="17" t="s">
        <v>282</v>
      </c>
    </row>
    <row r="2" spans="2:7" ht="15" customHeight="1" x14ac:dyDescent="0.3">
      <c r="B2" s="27" t="s">
        <v>9</v>
      </c>
    </row>
    <row r="3" spans="2:7" ht="18" customHeight="1" x14ac:dyDescent="0.3"/>
    <row r="4" spans="2:7" x14ac:dyDescent="0.3">
      <c r="F4" s="3"/>
    </row>
    <row r="5" spans="2:7" x14ac:dyDescent="0.3">
      <c r="B5" s="36" t="s">
        <v>21</v>
      </c>
      <c r="C5" s="39" t="s">
        <v>22</v>
      </c>
      <c r="D5" s="94" t="s">
        <v>217</v>
      </c>
      <c r="F5" s="108" t="s">
        <v>283</v>
      </c>
      <c r="G5" s="108"/>
    </row>
    <row r="6" spans="2:7" x14ac:dyDescent="0.3">
      <c r="B6" s="8">
        <v>252</v>
      </c>
      <c r="C6" s="8">
        <v>276</v>
      </c>
      <c r="D6" s="8">
        <f>C6-B6</f>
        <v>24</v>
      </c>
      <c r="F6" s="19" t="s">
        <v>41</v>
      </c>
      <c r="G6" s="67">
        <f>AVERAGE(D6:D100)</f>
        <v>49.442105263157892</v>
      </c>
    </row>
    <row r="7" spans="2:7" x14ac:dyDescent="0.3">
      <c r="B7" s="8">
        <v>423</v>
      </c>
      <c r="C7" s="8">
        <v>410</v>
      </c>
      <c r="D7" s="8">
        <f t="shared" ref="D7:D70" si="0">C7-B7</f>
        <v>-13</v>
      </c>
      <c r="F7" s="19" t="s">
        <v>60</v>
      </c>
      <c r="G7" s="68">
        <f>_xlfn.VAR.S(D6:D100)</f>
        <v>879.41948488241894</v>
      </c>
    </row>
    <row r="8" spans="2:7" x14ac:dyDescent="0.3">
      <c r="B8" s="8">
        <v>101</v>
      </c>
      <c r="C8" s="8">
        <v>119</v>
      </c>
      <c r="D8" s="8">
        <f t="shared" si="0"/>
        <v>18</v>
      </c>
      <c r="F8" s="19" t="s">
        <v>61</v>
      </c>
      <c r="G8" s="66">
        <f>_xlfn.STDEV.S(D6:D100)</f>
        <v>29.655007753875548</v>
      </c>
    </row>
    <row r="9" spans="2:7" x14ac:dyDescent="0.3">
      <c r="B9" s="8">
        <v>288</v>
      </c>
      <c r="C9" s="8">
        <v>334</v>
      </c>
      <c r="D9" s="8">
        <f t="shared" si="0"/>
        <v>46</v>
      </c>
    </row>
    <row r="10" spans="2:7" x14ac:dyDescent="0.3">
      <c r="B10" s="8">
        <v>248</v>
      </c>
      <c r="C10" s="8">
        <v>252</v>
      </c>
      <c r="D10" s="8">
        <f t="shared" si="0"/>
        <v>4</v>
      </c>
    </row>
    <row r="11" spans="2:7" x14ac:dyDescent="0.3">
      <c r="B11" s="8">
        <v>145</v>
      </c>
      <c r="C11" s="8">
        <v>209</v>
      </c>
      <c r="D11" s="8">
        <f t="shared" si="0"/>
        <v>64</v>
      </c>
    </row>
    <row r="12" spans="2:7" x14ac:dyDescent="0.3">
      <c r="B12" s="8">
        <v>401</v>
      </c>
      <c r="C12" s="8">
        <v>462</v>
      </c>
      <c r="D12" s="8">
        <f t="shared" si="0"/>
        <v>61</v>
      </c>
    </row>
    <row r="13" spans="2:7" x14ac:dyDescent="0.3">
      <c r="B13" s="8">
        <v>287</v>
      </c>
      <c r="C13" s="8">
        <v>342</v>
      </c>
      <c r="D13" s="8">
        <f t="shared" si="0"/>
        <v>55</v>
      </c>
    </row>
    <row r="14" spans="2:7" x14ac:dyDescent="0.3">
      <c r="B14" s="8">
        <v>275</v>
      </c>
      <c r="C14" s="8">
        <v>347</v>
      </c>
      <c r="D14" s="8">
        <f t="shared" si="0"/>
        <v>72</v>
      </c>
    </row>
    <row r="15" spans="2:7" x14ac:dyDescent="0.3">
      <c r="B15" s="8">
        <v>254</v>
      </c>
      <c r="C15" s="8">
        <v>313</v>
      </c>
      <c r="D15" s="8">
        <f t="shared" si="0"/>
        <v>59</v>
      </c>
    </row>
    <row r="16" spans="2:7" x14ac:dyDescent="0.3">
      <c r="B16" s="8">
        <v>182</v>
      </c>
      <c r="C16" s="8">
        <v>232</v>
      </c>
      <c r="D16" s="8">
        <f t="shared" si="0"/>
        <v>50</v>
      </c>
    </row>
    <row r="17" spans="2:4" x14ac:dyDescent="0.3">
      <c r="B17" s="8">
        <v>117</v>
      </c>
      <c r="C17" s="8">
        <v>163</v>
      </c>
      <c r="D17" s="8">
        <f t="shared" si="0"/>
        <v>46</v>
      </c>
    </row>
    <row r="18" spans="2:4" x14ac:dyDescent="0.3">
      <c r="B18" s="8">
        <v>130</v>
      </c>
      <c r="C18" s="8">
        <v>119</v>
      </c>
      <c r="D18" s="8">
        <f t="shared" si="0"/>
        <v>-11</v>
      </c>
    </row>
    <row r="19" spans="2:4" x14ac:dyDescent="0.3">
      <c r="B19" s="8">
        <v>219</v>
      </c>
      <c r="C19" s="8">
        <v>304</v>
      </c>
      <c r="D19" s="8">
        <f t="shared" si="0"/>
        <v>85</v>
      </c>
    </row>
    <row r="20" spans="2:4" x14ac:dyDescent="0.3">
      <c r="B20" s="8">
        <v>152</v>
      </c>
      <c r="C20" s="8">
        <v>211</v>
      </c>
      <c r="D20" s="8">
        <f t="shared" si="0"/>
        <v>59</v>
      </c>
    </row>
    <row r="21" spans="2:4" x14ac:dyDescent="0.3">
      <c r="B21" s="8">
        <v>228</v>
      </c>
      <c r="C21" s="8">
        <v>286</v>
      </c>
      <c r="D21" s="8">
        <f t="shared" si="0"/>
        <v>58</v>
      </c>
    </row>
    <row r="22" spans="2:4" x14ac:dyDescent="0.3">
      <c r="B22" s="8">
        <v>62</v>
      </c>
      <c r="C22" s="8">
        <v>122</v>
      </c>
      <c r="D22" s="8">
        <f t="shared" si="0"/>
        <v>60</v>
      </c>
    </row>
    <row r="23" spans="2:4" x14ac:dyDescent="0.3">
      <c r="B23" s="8">
        <v>393</v>
      </c>
      <c r="C23" s="8">
        <v>443</v>
      </c>
      <c r="D23" s="8">
        <f t="shared" si="0"/>
        <v>50</v>
      </c>
    </row>
    <row r="24" spans="2:4" x14ac:dyDescent="0.3">
      <c r="B24" s="8">
        <v>277</v>
      </c>
      <c r="C24" s="8">
        <v>366</v>
      </c>
      <c r="D24" s="8">
        <f t="shared" si="0"/>
        <v>89</v>
      </c>
    </row>
    <row r="25" spans="2:4" x14ac:dyDescent="0.3">
      <c r="B25" s="8">
        <v>206</v>
      </c>
      <c r="C25" s="8">
        <v>244</v>
      </c>
      <c r="D25" s="8">
        <f t="shared" si="0"/>
        <v>38</v>
      </c>
    </row>
    <row r="26" spans="2:4" x14ac:dyDescent="0.3">
      <c r="B26" s="8">
        <v>229</v>
      </c>
      <c r="C26" s="8">
        <v>241</v>
      </c>
      <c r="D26" s="8">
        <f t="shared" si="0"/>
        <v>12</v>
      </c>
    </row>
    <row r="27" spans="2:4" x14ac:dyDescent="0.3">
      <c r="B27" s="8">
        <v>182</v>
      </c>
      <c r="C27" s="8">
        <v>237</v>
      </c>
      <c r="D27" s="8">
        <f t="shared" si="0"/>
        <v>55</v>
      </c>
    </row>
    <row r="28" spans="2:4" x14ac:dyDescent="0.3">
      <c r="B28" s="8">
        <v>98</v>
      </c>
      <c r="C28" s="8">
        <v>122</v>
      </c>
      <c r="D28" s="8">
        <f t="shared" si="0"/>
        <v>24</v>
      </c>
    </row>
    <row r="29" spans="2:4" x14ac:dyDescent="0.3">
      <c r="B29" s="8">
        <v>125</v>
      </c>
      <c r="C29" s="8">
        <v>129</v>
      </c>
      <c r="D29" s="8">
        <f t="shared" si="0"/>
        <v>4</v>
      </c>
    </row>
    <row r="30" spans="2:4" x14ac:dyDescent="0.3">
      <c r="B30" s="8">
        <v>164</v>
      </c>
      <c r="C30" s="8">
        <v>236</v>
      </c>
      <c r="D30" s="8">
        <f t="shared" si="0"/>
        <v>72</v>
      </c>
    </row>
    <row r="31" spans="2:4" x14ac:dyDescent="0.3">
      <c r="B31" s="8">
        <v>186</v>
      </c>
      <c r="C31" s="8">
        <v>251</v>
      </c>
      <c r="D31" s="8">
        <f t="shared" si="0"/>
        <v>65</v>
      </c>
    </row>
    <row r="32" spans="2:4" x14ac:dyDescent="0.3">
      <c r="B32" s="8">
        <v>235</v>
      </c>
      <c r="C32" s="8">
        <v>283</v>
      </c>
      <c r="D32" s="8">
        <f t="shared" si="0"/>
        <v>48</v>
      </c>
    </row>
    <row r="33" spans="2:4" x14ac:dyDescent="0.3">
      <c r="B33" s="8">
        <v>184</v>
      </c>
      <c r="C33" s="8">
        <v>225</v>
      </c>
      <c r="D33" s="8">
        <f t="shared" si="0"/>
        <v>41</v>
      </c>
    </row>
    <row r="34" spans="2:4" x14ac:dyDescent="0.3">
      <c r="B34" s="8">
        <v>76</v>
      </c>
      <c r="C34" s="8">
        <v>102</v>
      </c>
      <c r="D34" s="8">
        <f t="shared" si="0"/>
        <v>26</v>
      </c>
    </row>
    <row r="35" spans="2:4" x14ac:dyDescent="0.3">
      <c r="B35" s="8">
        <v>126</v>
      </c>
      <c r="C35" s="8">
        <v>180</v>
      </c>
      <c r="D35" s="8">
        <f t="shared" si="0"/>
        <v>54</v>
      </c>
    </row>
    <row r="36" spans="2:4" x14ac:dyDescent="0.3">
      <c r="B36" s="8">
        <v>183</v>
      </c>
      <c r="C36" s="8">
        <v>247</v>
      </c>
      <c r="D36" s="8">
        <f t="shared" si="0"/>
        <v>64</v>
      </c>
    </row>
    <row r="37" spans="2:4" x14ac:dyDescent="0.3">
      <c r="B37" s="8">
        <v>242</v>
      </c>
      <c r="C37" s="8">
        <v>343</v>
      </c>
      <c r="D37" s="8">
        <f t="shared" si="0"/>
        <v>101</v>
      </c>
    </row>
    <row r="38" spans="2:4" x14ac:dyDescent="0.3">
      <c r="B38" s="8">
        <v>207</v>
      </c>
      <c r="C38" s="8">
        <v>283</v>
      </c>
      <c r="D38" s="8">
        <f t="shared" si="0"/>
        <v>76</v>
      </c>
    </row>
    <row r="39" spans="2:4" x14ac:dyDescent="0.3">
      <c r="B39" s="8">
        <v>181</v>
      </c>
      <c r="C39" s="8">
        <v>253</v>
      </c>
      <c r="D39" s="8">
        <f t="shared" si="0"/>
        <v>72</v>
      </c>
    </row>
    <row r="40" spans="2:4" x14ac:dyDescent="0.3">
      <c r="B40" s="8">
        <v>239</v>
      </c>
      <c r="C40" s="8">
        <v>263</v>
      </c>
      <c r="D40" s="8">
        <f t="shared" si="0"/>
        <v>24</v>
      </c>
    </row>
    <row r="41" spans="2:4" x14ac:dyDescent="0.3">
      <c r="B41" s="8">
        <v>216</v>
      </c>
      <c r="C41" s="8">
        <v>291</v>
      </c>
      <c r="D41" s="8">
        <f t="shared" si="0"/>
        <v>75</v>
      </c>
    </row>
    <row r="42" spans="2:4" x14ac:dyDescent="0.3">
      <c r="B42" s="8">
        <v>289</v>
      </c>
      <c r="C42" s="8">
        <v>368</v>
      </c>
      <c r="D42" s="8">
        <f t="shared" si="0"/>
        <v>79</v>
      </c>
    </row>
    <row r="43" spans="2:4" x14ac:dyDescent="0.3">
      <c r="B43" s="8">
        <v>213</v>
      </c>
      <c r="C43" s="8">
        <v>206</v>
      </c>
      <c r="D43" s="8">
        <f t="shared" si="0"/>
        <v>-7</v>
      </c>
    </row>
    <row r="44" spans="2:4" x14ac:dyDescent="0.3">
      <c r="B44" s="8">
        <v>209</v>
      </c>
      <c r="C44" s="8">
        <v>231</v>
      </c>
      <c r="D44" s="8">
        <f t="shared" si="0"/>
        <v>22</v>
      </c>
    </row>
    <row r="45" spans="2:4" x14ac:dyDescent="0.3">
      <c r="B45" s="8">
        <v>376</v>
      </c>
      <c r="C45" s="8">
        <v>389</v>
      </c>
      <c r="D45" s="8">
        <f t="shared" si="0"/>
        <v>13</v>
      </c>
    </row>
    <row r="46" spans="2:4" x14ac:dyDescent="0.3">
      <c r="B46" s="8">
        <v>332</v>
      </c>
      <c r="C46" s="8">
        <v>396</v>
      </c>
      <c r="D46" s="8">
        <f t="shared" si="0"/>
        <v>64</v>
      </c>
    </row>
    <row r="47" spans="2:4" x14ac:dyDescent="0.3">
      <c r="B47" s="8">
        <v>249</v>
      </c>
      <c r="C47" s="8">
        <v>339</v>
      </c>
      <c r="D47" s="8">
        <f t="shared" si="0"/>
        <v>90</v>
      </c>
    </row>
    <row r="48" spans="2:4" x14ac:dyDescent="0.3">
      <c r="B48" s="8">
        <v>228</v>
      </c>
      <c r="C48" s="8">
        <v>286</v>
      </c>
      <c r="D48" s="8">
        <f t="shared" si="0"/>
        <v>58</v>
      </c>
    </row>
    <row r="49" spans="2:4" x14ac:dyDescent="0.3">
      <c r="B49" s="8">
        <v>124</v>
      </c>
      <c r="C49" s="8">
        <v>146</v>
      </c>
      <c r="D49" s="8">
        <f t="shared" si="0"/>
        <v>22</v>
      </c>
    </row>
    <row r="50" spans="2:4" x14ac:dyDescent="0.3">
      <c r="B50" s="8">
        <v>194</v>
      </c>
      <c r="C50" s="8">
        <v>315</v>
      </c>
      <c r="D50" s="8">
        <f t="shared" si="0"/>
        <v>121</v>
      </c>
    </row>
    <row r="51" spans="2:4" x14ac:dyDescent="0.3">
      <c r="B51" s="8">
        <v>157</v>
      </c>
      <c r="C51" s="8">
        <v>183</v>
      </c>
      <c r="D51" s="8">
        <f t="shared" si="0"/>
        <v>26</v>
      </c>
    </row>
    <row r="52" spans="2:4" x14ac:dyDescent="0.3">
      <c r="B52" s="8">
        <v>402</v>
      </c>
      <c r="C52" s="8">
        <v>481</v>
      </c>
      <c r="D52" s="8">
        <f t="shared" si="0"/>
        <v>79</v>
      </c>
    </row>
    <row r="53" spans="2:4" x14ac:dyDescent="0.3">
      <c r="B53" s="8">
        <v>323</v>
      </c>
      <c r="C53" s="8">
        <v>349</v>
      </c>
      <c r="D53" s="8">
        <f t="shared" si="0"/>
        <v>26</v>
      </c>
    </row>
    <row r="54" spans="2:4" x14ac:dyDescent="0.3">
      <c r="B54" s="8">
        <v>181</v>
      </c>
      <c r="C54" s="8">
        <v>225</v>
      </c>
      <c r="D54" s="8">
        <f t="shared" si="0"/>
        <v>44</v>
      </c>
    </row>
    <row r="55" spans="2:4" x14ac:dyDescent="0.3">
      <c r="B55" s="8">
        <v>157</v>
      </c>
      <c r="C55" s="8">
        <v>217</v>
      </c>
      <c r="D55" s="8">
        <f t="shared" si="0"/>
        <v>60</v>
      </c>
    </row>
    <row r="56" spans="2:4" x14ac:dyDescent="0.3">
      <c r="B56" s="8">
        <v>266</v>
      </c>
      <c r="C56" s="8">
        <v>353</v>
      </c>
      <c r="D56" s="8">
        <f t="shared" si="0"/>
        <v>87</v>
      </c>
    </row>
    <row r="57" spans="2:4" x14ac:dyDescent="0.3">
      <c r="B57" s="8">
        <v>268</v>
      </c>
      <c r="C57" s="8">
        <v>314</v>
      </c>
      <c r="D57" s="8">
        <f t="shared" si="0"/>
        <v>46</v>
      </c>
    </row>
    <row r="58" spans="2:4" x14ac:dyDescent="0.3">
      <c r="B58" s="8">
        <v>167</v>
      </c>
      <c r="C58" s="8">
        <v>247</v>
      </c>
      <c r="D58" s="8">
        <f t="shared" si="0"/>
        <v>80</v>
      </c>
    </row>
    <row r="59" spans="2:4" x14ac:dyDescent="0.3">
      <c r="B59" s="8">
        <v>342</v>
      </c>
      <c r="C59" s="8">
        <v>410</v>
      </c>
      <c r="D59" s="8">
        <f t="shared" si="0"/>
        <v>68</v>
      </c>
    </row>
    <row r="60" spans="2:4" x14ac:dyDescent="0.3">
      <c r="B60" s="8">
        <v>349</v>
      </c>
      <c r="C60" s="8">
        <v>395</v>
      </c>
      <c r="D60" s="8">
        <f t="shared" si="0"/>
        <v>46</v>
      </c>
    </row>
    <row r="61" spans="2:4" x14ac:dyDescent="0.3">
      <c r="B61" s="8">
        <v>340</v>
      </c>
      <c r="C61" s="8">
        <v>416</v>
      </c>
      <c r="D61" s="8">
        <f t="shared" si="0"/>
        <v>76</v>
      </c>
    </row>
    <row r="62" spans="2:4" x14ac:dyDescent="0.3">
      <c r="B62" s="8">
        <v>227</v>
      </c>
      <c r="C62" s="8">
        <v>342</v>
      </c>
      <c r="D62" s="8">
        <f t="shared" si="0"/>
        <v>115</v>
      </c>
    </row>
    <row r="63" spans="2:4" x14ac:dyDescent="0.3">
      <c r="B63" s="8">
        <v>409</v>
      </c>
      <c r="C63" s="8">
        <v>446</v>
      </c>
      <c r="D63" s="8">
        <f t="shared" si="0"/>
        <v>37</v>
      </c>
    </row>
    <row r="64" spans="2:4" x14ac:dyDescent="0.3">
      <c r="B64" s="8">
        <v>400</v>
      </c>
      <c r="C64" s="8">
        <v>477</v>
      </c>
      <c r="D64" s="8">
        <f t="shared" si="0"/>
        <v>77</v>
      </c>
    </row>
    <row r="65" spans="2:4" x14ac:dyDescent="0.3">
      <c r="B65" s="8">
        <v>374</v>
      </c>
      <c r="C65" s="8">
        <v>444</v>
      </c>
      <c r="D65" s="8">
        <f t="shared" si="0"/>
        <v>70</v>
      </c>
    </row>
    <row r="66" spans="2:4" x14ac:dyDescent="0.3">
      <c r="B66" s="8">
        <v>255</v>
      </c>
      <c r="C66" s="8">
        <v>351</v>
      </c>
      <c r="D66" s="8">
        <f t="shared" si="0"/>
        <v>96</v>
      </c>
    </row>
    <row r="67" spans="2:4" x14ac:dyDescent="0.3">
      <c r="B67" s="8">
        <v>146</v>
      </c>
      <c r="C67" s="8">
        <v>165</v>
      </c>
      <c r="D67" s="8">
        <f t="shared" si="0"/>
        <v>19</v>
      </c>
    </row>
    <row r="68" spans="2:4" x14ac:dyDescent="0.3">
      <c r="B68" s="8">
        <v>248</v>
      </c>
      <c r="C68" s="8">
        <v>317</v>
      </c>
      <c r="D68" s="8">
        <f t="shared" si="0"/>
        <v>69</v>
      </c>
    </row>
    <row r="69" spans="2:4" x14ac:dyDescent="0.3">
      <c r="B69" s="8">
        <v>198</v>
      </c>
      <c r="C69" s="8">
        <v>250</v>
      </c>
      <c r="D69" s="8">
        <f t="shared" si="0"/>
        <v>52</v>
      </c>
    </row>
    <row r="70" spans="2:4" x14ac:dyDescent="0.3">
      <c r="B70" s="8">
        <v>210</v>
      </c>
      <c r="C70" s="8">
        <v>217</v>
      </c>
      <c r="D70" s="8">
        <f t="shared" si="0"/>
        <v>7</v>
      </c>
    </row>
    <row r="71" spans="2:4" x14ac:dyDescent="0.3">
      <c r="B71" s="8">
        <v>107</v>
      </c>
      <c r="C71" s="8">
        <v>138</v>
      </c>
      <c r="D71" s="8">
        <f t="shared" ref="D71:D100" si="1">C71-B71</f>
        <v>31</v>
      </c>
    </row>
    <row r="72" spans="2:4" x14ac:dyDescent="0.3">
      <c r="B72" s="8">
        <v>239</v>
      </c>
      <c r="C72" s="8">
        <v>302</v>
      </c>
      <c r="D72" s="8">
        <f t="shared" si="1"/>
        <v>63</v>
      </c>
    </row>
    <row r="73" spans="2:4" x14ac:dyDescent="0.3">
      <c r="B73" s="8">
        <v>287</v>
      </c>
      <c r="C73" s="8">
        <v>311</v>
      </c>
      <c r="D73" s="8">
        <f t="shared" si="1"/>
        <v>24</v>
      </c>
    </row>
    <row r="74" spans="2:4" x14ac:dyDescent="0.3">
      <c r="B74" s="8">
        <v>340</v>
      </c>
      <c r="C74" s="8">
        <v>373</v>
      </c>
      <c r="D74" s="8">
        <f t="shared" si="1"/>
        <v>33</v>
      </c>
    </row>
    <row r="75" spans="2:4" x14ac:dyDescent="0.3">
      <c r="B75" s="8">
        <v>155</v>
      </c>
      <c r="C75" s="8">
        <v>196</v>
      </c>
      <c r="D75" s="8">
        <f t="shared" si="1"/>
        <v>41</v>
      </c>
    </row>
    <row r="76" spans="2:4" x14ac:dyDescent="0.3">
      <c r="B76" s="8">
        <v>263</v>
      </c>
      <c r="C76" s="8">
        <v>306</v>
      </c>
      <c r="D76" s="8">
        <f t="shared" si="1"/>
        <v>43</v>
      </c>
    </row>
    <row r="77" spans="2:4" x14ac:dyDescent="0.3">
      <c r="B77" s="8">
        <v>265</v>
      </c>
      <c r="C77" s="8">
        <v>302</v>
      </c>
      <c r="D77" s="8">
        <f t="shared" si="1"/>
        <v>37</v>
      </c>
    </row>
    <row r="78" spans="2:4" x14ac:dyDescent="0.3">
      <c r="B78" s="8">
        <v>249</v>
      </c>
      <c r="C78" s="8">
        <v>278</v>
      </c>
      <c r="D78" s="8">
        <f t="shared" si="1"/>
        <v>29</v>
      </c>
    </row>
    <row r="79" spans="2:4" x14ac:dyDescent="0.3">
      <c r="B79" s="8">
        <v>377</v>
      </c>
      <c r="C79" s="8">
        <v>429</v>
      </c>
      <c r="D79" s="8">
        <f t="shared" si="1"/>
        <v>52</v>
      </c>
    </row>
    <row r="80" spans="2:4" x14ac:dyDescent="0.3">
      <c r="B80" s="8">
        <v>301</v>
      </c>
      <c r="C80" s="8">
        <v>338</v>
      </c>
      <c r="D80" s="8">
        <f t="shared" si="1"/>
        <v>37</v>
      </c>
    </row>
    <row r="81" spans="2:4" x14ac:dyDescent="0.3">
      <c r="B81" s="8">
        <v>242</v>
      </c>
      <c r="C81" s="8">
        <v>261</v>
      </c>
      <c r="D81" s="8">
        <f t="shared" si="1"/>
        <v>19</v>
      </c>
    </row>
    <row r="82" spans="2:4" x14ac:dyDescent="0.3">
      <c r="B82" s="8">
        <v>211</v>
      </c>
      <c r="C82" s="8">
        <v>256</v>
      </c>
      <c r="D82" s="8">
        <f t="shared" si="1"/>
        <v>45</v>
      </c>
    </row>
    <row r="83" spans="2:4" x14ac:dyDescent="0.3">
      <c r="B83" s="8">
        <v>160</v>
      </c>
      <c r="C83" s="8">
        <v>183</v>
      </c>
      <c r="D83" s="8">
        <f t="shared" si="1"/>
        <v>23</v>
      </c>
    </row>
    <row r="84" spans="2:4" x14ac:dyDescent="0.3">
      <c r="B84" s="8">
        <v>218</v>
      </c>
      <c r="C84" s="8">
        <v>274</v>
      </c>
      <c r="D84" s="8">
        <f t="shared" si="1"/>
        <v>56</v>
      </c>
    </row>
    <row r="85" spans="2:4" x14ac:dyDescent="0.3">
      <c r="B85" s="8">
        <v>133</v>
      </c>
      <c r="C85" s="8">
        <v>182</v>
      </c>
      <c r="D85" s="8">
        <f t="shared" si="1"/>
        <v>49</v>
      </c>
    </row>
    <row r="86" spans="2:4" x14ac:dyDescent="0.3">
      <c r="B86" s="8">
        <v>122</v>
      </c>
      <c r="C86" s="8">
        <v>183</v>
      </c>
      <c r="D86" s="8">
        <f t="shared" si="1"/>
        <v>61</v>
      </c>
    </row>
    <row r="87" spans="2:4" x14ac:dyDescent="0.3">
      <c r="B87" s="8">
        <v>236</v>
      </c>
      <c r="C87" s="8">
        <v>309</v>
      </c>
      <c r="D87" s="8">
        <f t="shared" si="1"/>
        <v>73</v>
      </c>
    </row>
    <row r="88" spans="2:4" x14ac:dyDescent="0.3">
      <c r="B88" s="8">
        <v>143</v>
      </c>
      <c r="C88" s="8">
        <v>178</v>
      </c>
      <c r="D88" s="8">
        <f t="shared" si="1"/>
        <v>35</v>
      </c>
    </row>
    <row r="89" spans="2:4" x14ac:dyDescent="0.3">
      <c r="B89" s="8">
        <v>354</v>
      </c>
      <c r="C89" s="8">
        <v>458</v>
      </c>
      <c r="D89" s="8">
        <f t="shared" si="1"/>
        <v>104</v>
      </c>
    </row>
    <row r="90" spans="2:4" x14ac:dyDescent="0.3">
      <c r="B90" s="8">
        <v>214</v>
      </c>
      <c r="C90" s="8">
        <v>234</v>
      </c>
      <c r="D90" s="8">
        <f t="shared" si="1"/>
        <v>20</v>
      </c>
    </row>
    <row r="91" spans="2:4" x14ac:dyDescent="0.3">
      <c r="B91" s="8">
        <v>225</v>
      </c>
      <c r="C91" s="8">
        <v>306</v>
      </c>
      <c r="D91" s="8">
        <f t="shared" si="1"/>
        <v>81</v>
      </c>
    </row>
    <row r="92" spans="2:4" x14ac:dyDescent="0.3">
      <c r="B92" s="8">
        <v>261</v>
      </c>
      <c r="C92" s="8">
        <v>400</v>
      </c>
      <c r="D92" s="8">
        <f t="shared" si="1"/>
        <v>139</v>
      </c>
    </row>
    <row r="93" spans="2:4" x14ac:dyDescent="0.3">
      <c r="B93" s="8">
        <v>277</v>
      </c>
      <c r="C93" s="8">
        <v>337</v>
      </c>
      <c r="D93" s="8">
        <f t="shared" si="1"/>
        <v>60</v>
      </c>
    </row>
    <row r="94" spans="2:4" x14ac:dyDescent="0.3">
      <c r="B94" s="8">
        <v>282</v>
      </c>
      <c r="C94" s="8">
        <v>325</v>
      </c>
      <c r="D94" s="8">
        <f t="shared" si="1"/>
        <v>43</v>
      </c>
    </row>
    <row r="95" spans="2:4" x14ac:dyDescent="0.3">
      <c r="B95" s="8">
        <v>322</v>
      </c>
      <c r="C95" s="8">
        <v>329</v>
      </c>
      <c r="D95" s="8">
        <f t="shared" si="1"/>
        <v>7</v>
      </c>
    </row>
    <row r="96" spans="2:4" x14ac:dyDescent="0.3">
      <c r="B96" s="8">
        <v>326</v>
      </c>
      <c r="C96" s="8">
        <v>369</v>
      </c>
      <c r="D96" s="8">
        <f t="shared" si="1"/>
        <v>43</v>
      </c>
    </row>
    <row r="97" spans="2:4" x14ac:dyDescent="0.3">
      <c r="B97" s="8">
        <v>421</v>
      </c>
      <c r="C97" s="8">
        <v>457</v>
      </c>
      <c r="D97" s="8">
        <f t="shared" si="1"/>
        <v>36</v>
      </c>
    </row>
    <row r="98" spans="2:4" x14ac:dyDescent="0.3">
      <c r="B98" s="8">
        <v>368</v>
      </c>
      <c r="C98" s="8">
        <v>421</v>
      </c>
      <c r="D98" s="8">
        <f t="shared" si="1"/>
        <v>53</v>
      </c>
    </row>
    <row r="99" spans="2:4" x14ac:dyDescent="0.3">
      <c r="B99" s="8">
        <v>279</v>
      </c>
      <c r="C99" s="8">
        <v>282</v>
      </c>
      <c r="D99" s="8">
        <f t="shared" si="1"/>
        <v>3</v>
      </c>
    </row>
    <row r="100" spans="2:4" x14ac:dyDescent="0.3">
      <c r="B100" s="8">
        <v>268</v>
      </c>
      <c r="C100" s="8">
        <v>256</v>
      </c>
      <c r="D100" s="8">
        <f t="shared" si="1"/>
        <v>-12</v>
      </c>
    </row>
  </sheetData>
  <mergeCells count="1">
    <mergeCell ref="F5:G5"/>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C2946-8151-47CF-AE1C-A50A92F6E483}">
  <sheetPr codeName="Sheet14">
    <tabColor theme="4" tint="0.79998168889431442"/>
  </sheetPr>
  <dimension ref="B1:G100"/>
  <sheetViews>
    <sheetView showGridLines="0" workbookViewId="0">
      <selection activeCell="E4" sqref="E4"/>
    </sheetView>
  </sheetViews>
  <sheetFormatPr defaultRowHeight="14.4" x14ac:dyDescent="0.3"/>
  <cols>
    <col min="1" max="1" width="2.88671875" customWidth="1"/>
    <col min="2" max="2" width="10.6640625" bestFit="1" customWidth="1"/>
    <col min="3" max="3" width="19.88671875" bestFit="1" customWidth="1"/>
    <col min="5" max="5" width="22.6640625" bestFit="1" customWidth="1"/>
    <col min="6" max="6" width="12" bestFit="1" customWidth="1"/>
    <col min="7" max="7" width="13.44140625" bestFit="1" customWidth="1"/>
  </cols>
  <sheetData>
    <row r="1" spans="2:7" ht="25.5" customHeight="1" x14ac:dyDescent="0.35">
      <c r="B1" s="17" t="s">
        <v>114</v>
      </c>
    </row>
    <row r="2" spans="2:7" ht="15" customHeight="1" x14ac:dyDescent="0.3">
      <c r="B2" s="27" t="s">
        <v>73</v>
      </c>
    </row>
    <row r="3" spans="2:7" ht="18" customHeight="1" x14ac:dyDescent="0.3"/>
    <row r="4" spans="2:7" x14ac:dyDescent="0.3">
      <c r="E4" s="3"/>
    </row>
    <row r="5" spans="2:7" x14ac:dyDescent="0.3">
      <c r="B5" s="7" t="s">
        <v>69</v>
      </c>
      <c r="C5" s="7" t="s">
        <v>22</v>
      </c>
      <c r="E5" s="108" t="s">
        <v>72</v>
      </c>
      <c r="F5" s="108"/>
      <c r="G5" s="108"/>
    </row>
    <row r="6" spans="2:7" x14ac:dyDescent="0.3">
      <c r="B6" s="8">
        <v>90.2</v>
      </c>
      <c r="C6" s="8">
        <v>276</v>
      </c>
      <c r="F6" s="16" t="s">
        <v>69</v>
      </c>
      <c r="G6" s="16" t="s">
        <v>71</v>
      </c>
    </row>
    <row r="7" spans="2:7" x14ac:dyDescent="0.3">
      <c r="B7" s="8">
        <v>92.8</v>
      </c>
      <c r="C7" s="8">
        <v>410</v>
      </c>
      <c r="E7" s="19" t="s">
        <v>61</v>
      </c>
      <c r="F7" s="69">
        <f>_xlfn.STDEV.S(B6:B100)</f>
        <v>6.1707800411122609</v>
      </c>
      <c r="G7" s="69">
        <f>_xlfn.STDEV.S(C6:C100)</f>
        <v>93.521048765238149</v>
      </c>
    </row>
    <row r="8" spans="2:7" x14ac:dyDescent="0.3">
      <c r="B8" s="8">
        <v>68.7</v>
      </c>
      <c r="C8" s="8">
        <v>119</v>
      </c>
      <c r="E8" s="19" t="s">
        <v>41</v>
      </c>
      <c r="F8" s="70">
        <f>AVERAGE(B6:B100)</f>
        <v>80.169473684210516</v>
      </c>
      <c r="G8" s="70">
        <f>AVERAGE(C6:C100)</f>
        <v>289.34736842105264</v>
      </c>
    </row>
    <row r="9" spans="2:7" x14ac:dyDescent="0.3">
      <c r="B9" s="8">
        <v>80.7</v>
      </c>
      <c r="C9" s="8">
        <v>334</v>
      </c>
      <c r="E9" s="19" t="s">
        <v>70</v>
      </c>
      <c r="F9" s="64">
        <f>F7/F8</f>
        <v>7.6971692060984601E-2</v>
      </c>
      <c r="G9" s="64">
        <f>G7/G8</f>
        <v>0.32321375264470403</v>
      </c>
    </row>
    <row r="10" spans="2:7" x14ac:dyDescent="0.3">
      <c r="B10" s="8">
        <v>74.900000000000006</v>
      </c>
      <c r="C10" s="8">
        <v>252</v>
      </c>
      <c r="E10" s="19"/>
      <c r="F10" s="1"/>
      <c r="G10" s="1"/>
    </row>
    <row r="11" spans="2:7" x14ac:dyDescent="0.3">
      <c r="B11" s="8">
        <v>80.7</v>
      </c>
      <c r="C11" s="8">
        <v>209</v>
      </c>
      <c r="E11" s="19"/>
      <c r="F11" s="1"/>
      <c r="G11" s="1"/>
    </row>
    <row r="12" spans="2:7" x14ac:dyDescent="0.3">
      <c r="B12" s="8">
        <v>83.3</v>
      </c>
      <c r="C12" s="8">
        <v>462</v>
      </c>
      <c r="E12" s="19"/>
      <c r="F12" s="1"/>
      <c r="G12" s="1"/>
    </row>
    <row r="13" spans="2:7" x14ac:dyDescent="0.3">
      <c r="B13" s="8">
        <v>88.7</v>
      </c>
      <c r="C13" s="8">
        <v>342</v>
      </c>
      <c r="E13" s="19"/>
    </row>
    <row r="14" spans="2:7" x14ac:dyDescent="0.3">
      <c r="B14" s="8">
        <v>75.400000000000006</v>
      </c>
      <c r="C14" s="8">
        <v>347</v>
      </c>
    </row>
    <row r="15" spans="2:7" x14ac:dyDescent="0.3">
      <c r="B15" s="8">
        <v>82.1</v>
      </c>
      <c r="C15" s="8">
        <v>313</v>
      </c>
    </row>
    <row r="16" spans="2:7" x14ac:dyDescent="0.3">
      <c r="B16" s="8">
        <v>87.5</v>
      </c>
      <c r="C16" s="8">
        <v>232</v>
      </c>
    </row>
    <row r="17" spans="2:3" x14ac:dyDescent="0.3">
      <c r="B17" s="8">
        <v>66.900000000000006</v>
      </c>
      <c r="C17" s="8">
        <v>163</v>
      </c>
    </row>
    <row r="18" spans="2:3" x14ac:dyDescent="0.3">
      <c r="B18" s="8">
        <v>71.3</v>
      </c>
      <c r="C18" s="8">
        <v>119</v>
      </c>
    </row>
    <row r="19" spans="2:3" x14ac:dyDescent="0.3">
      <c r="B19" s="8">
        <v>76.8</v>
      </c>
      <c r="C19" s="8">
        <v>304</v>
      </c>
    </row>
    <row r="20" spans="2:3" x14ac:dyDescent="0.3">
      <c r="B20" s="8">
        <v>72.3</v>
      </c>
      <c r="C20" s="8">
        <v>211</v>
      </c>
    </row>
    <row r="21" spans="2:3" x14ac:dyDescent="0.3">
      <c r="B21" s="8">
        <v>72.400000000000006</v>
      </c>
      <c r="C21" s="8">
        <v>286</v>
      </c>
    </row>
    <row r="22" spans="2:3" x14ac:dyDescent="0.3">
      <c r="B22" s="8">
        <v>72</v>
      </c>
      <c r="C22" s="8">
        <v>122</v>
      </c>
    </row>
    <row r="23" spans="2:3" x14ac:dyDescent="0.3">
      <c r="B23" s="8">
        <v>81</v>
      </c>
      <c r="C23" s="8">
        <v>443</v>
      </c>
    </row>
    <row r="24" spans="2:3" x14ac:dyDescent="0.3">
      <c r="B24" s="8">
        <v>96.1</v>
      </c>
      <c r="C24" s="8">
        <v>366</v>
      </c>
    </row>
    <row r="25" spans="2:3" x14ac:dyDescent="0.3">
      <c r="B25" s="8">
        <v>76.7</v>
      </c>
      <c r="C25" s="8">
        <v>244</v>
      </c>
    </row>
    <row r="26" spans="2:3" x14ac:dyDescent="0.3">
      <c r="B26" s="8">
        <v>80.3</v>
      </c>
      <c r="C26" s="8">
        <v>241</v>
      </c>
    </row>
    <row r="27" spans="2:3" x14ac:dyDescent="0.3">
      <c r="B27" s="8">
        <v>77.8</v>
      </c>
      <c r="C27" s="8">
        <v>237</v>
      </c>
    </row>
    <row r="28" spans="2:3" x14ac:dyDescent="0.3">
      <c r="B28" s="8">
        <v>62.6</v>
      </c>
      <c r="C28" s="8">
        <v>122</v>
      </c>
    </row>
    <row r="29" spans="2:3" x14ac:dyDescent="0.3">
      <c r="B29" s="8">
        <v>80.2</v>
      </c>
      <c r="C29" s="8">
        <v>129</v>
      </c>
    </row>
    <row r="30" spans="2:3" x14ac:dyDescent="0.3">
      <c r="B30" s="8">
        <v>79.099999999999994</v>
      </c>
      <c r="C30" s="8">
        <v>236</v>
      </c>
    </row>
    <row r="31" spans="2:3" x14ac:dyDescent="0.3">
      <c r="B31" s="8">
        <v>77.8</v>
      </c>
      <c r="C31" s="8">
        <v>251</v>
      </c>
    </row>
    <row r="32" spans="2:3" x14ac:dyDescent="0.3">
      <c r="B32" s="8">
        <v>75.099999999999994</v>
      </c>
      <c r="C32" s="8">
        <v>283</v>
      </c>
    </row>
    <row r="33" spans="2:3" x14ac:dyDescent="0.3">
      <c r="B33" s="8">
        <v>82.2</v>
      </c>
      <c r="C33" s="8">
        <v>225</v>
      </c>
    </row>
    <row r="34" spans="2:3" x14ac:dyDescent="0.3">
      <c r="B34" s="8">
        <v>70.5</v>
      </c>
      <c r="C34" s="8">
        <v>102</v>
      </c>
    </row>
    <row r="35" spans="2:3" x14ac:dyDescent="0.3">
      <c r="B35" s="8">
        <v>70.8</v>
      </c>
      <c r="C35" s="8">
        <v>180</v>
      </c>
    </row>
    <row r="36" spans="2:3" x14ac:dyDescent="0.3">
      <c r="B36" s="8">
        <v>87.5</v>
      </c>
      <c r="C36" s="8">
        <v>247</v>
      </c>
    </row>
    <row r="37" spans="2:3" x14ac:dyDescent="0.3">
      <c r="B37" s="8">
        <v>79.5</v>
      </c>
      <c r="C37" s="8">
        <v>343</v>
      </c>
    </row>
    <row r="38" spans="2:3" x14ac:dyDescent="0.3">
      <c r="B38" s="8">
        <v>80.8</v>
      </c>
      <c r="C38" s="8">
        <v>283</v>
      </c>
    </row>
    <row r="39" spans="2:3" x14ac:dyDescent="0.3">
      <c r="B39" s="8">
        <v>79.599999999999994</v>
      </c>
      <c r="C39" s="8">
        <v>253</v>
      </c>
    </row>
    <row r="40" spans="2:3" x14ac:dyDescent="0.3">
      <c r="B40" s="8">
        <v>88.9</v>
      </c>
      <c r="C40" s="8">
        <v>263</v>
      </c>
    </row>
    <row r="41" spans="2:3" x14ac:dyDescent="0.3">
      <c r="B41" s="8">
        <v>85.9</v>
      </c>
      <c r="C41" s="8">
        <v>291</v>
      </c>
    </row>
    <row r="42" spans="2:3" x14ac:dyDescent="0.3">
      <c r="B42" s="8">
        <v>82.3</v>
      </c>
      <c r="C42" s="8">
        <v>368</v>
      </c>
    </row>
    <row r="43" spans="2:3" x14ac:dyDescent="0.3">
      <c r="B43" s="8">
        <v>76.7</v>
      </c>
      <c r="C43" s="8">
        <v>206</v>
      </c>
    </row>
    <row r="44" spans="2:3" x14ac:dyDescent="0.3">
      <c r="B44" s="8">
        <v>79.900000000000006</v>
      </c>
      <c r="C44" s="8">
        <v>231</v>
      </c>
    </row>
    <row r="45" spans="2:3" x14ac:dyDescent="0.3">
      <c r="B45" s="8">
        <v>86.2</v>
      </c>
      <c r="C45" s="8">
        <v>389</v>
      </c>
    </row>
    <row r="46" spans="2:3" x14ac:dyDescent="0.3">
      <c r="B46" s="8">
        <v>79.2</v>
      </c>
      <c r="C46" s="8">
        <v>396</v>
      </c>
    </row>
    <row r="47" spans="2:3" x14ac:dyDescent="0.3">
      <c r="B47" s="8">
        <v>83.4</v>
      </c>
      <c r="C47" s="8">
        <v>339</v>
      </c>
    </row>
    <row r="48" spans="2:3" x14ac:dyDescent="0.3">
      <c r="B48" s="8">
        <v>85.2</v>
      </c>
      <c r="C48" s="8">
        <v>286</v>
      </c>
    </row>
    <row r="49" spans="2:3" x14ac:dyDescent="0.3">
      <c r="B49" s="8">
        <v>77.8</v>
      </c>
      <c r="C49" s="8">
        <v>146</v>
      </c>
    </row>
    <row r="50" spans="2:3" x14ac:dyDescent="0.3">
      <c r="B50" s="8">
        <v>80.2</v>
      </c>
      <c r="C50" s="8">
        <v>315</v>
      </c>
    </row>
    <row r="51" spans="2:3" x14ac:dyDescent="0.3">
      <c r="B51" s="8">
        <v>71</v>
      </c>
      <c r="C51" s="8">
        <v>183</v>
      </c>
    </row>
    <row r="52" spans="2:3" x14ac:dyDescent="0.3">
      <c r="B52" s="8">
        <v>87.2</v>
      </c>
      <c r="C52" s="8">
        <v>481</v>
      </c>
    </row>
    <row r="53" spans="2:3" x14ac:dyDescent="0.3">
      <c r="B53" s="8">
        <v>82.9</v>
      </c>
      <c r="C53" s="8">
        <v>349</v>
      </c>
    </row>
    <row r="54" spans="2:3" x14ac:dyDescent="0.3">
      <c r="B54" s="8">
        <v>73.5</v>
      </c>
      <c r="C54" s="8">
        <v>225</v>
      </c>
    </row>
    <row r="55" spans="2:3" x14ac:dyDescent="0.3">
      <c r="B55" s="8">
        <v>74.599999999999994</v>
      </c>
      <c r="C55" s="8">
        <v>217</v>
      </c>
    </row>
    <row r="56" spans="2:3" x14ac:dyDescent="0.3">
      <c r="B56" s="8">
        <v>75.099999999999994</v>
      </c>
      <c r="C56" s="8">
        <v>353</v>
      </c>
    </row>
    <row r="57" spans="2:3" x14ac:dyDescent="0.3">
      <c r="B57" s="8">
        <v>85.1</v>
      </c>
      <c r="C57" s="8">
        <v>314</v>
      </c>
    </row>
    <row r="58" spans="2:3" x14ac:dyDescent="0.3">
      <c r="B58" s="8">
        <v>74.900000000000006</v>
      </c>
      <c r="C58" s="8">
        <v>247</v>
      </c>
    </row>
    <row r="59" spans="2:3" x14ac:dyDescent="0.3">
      <c r="B59" s="8">
        <v>84.6</v>
      </c>
      <c r="C59" s="8">
        <v>410</v>
      </c>
    </row>
    <row r="60" spans="2:3" x14ac:dyDescent="0.3">
      <c r="B60" s="8">
        <v>81.7</v>
      </c>
      <c r="C60" s="8">
        <v>395</v>
      </c>
    </row>
    <row r="61" spans="2:3" x14ac:dyDescent="0.3">
      <c r="B61" s="8">
        <v>81.400000000000006</v>
      </c>
      <c r="C61" s="8">
        <v>416</v>
      </c>
    </row>
    <row r="62" spans="2:3" x14ac:dyDescent="0.3">
      <c r="B62" s="8">
        <v>83.8</v>
      </c>
      <c r="C62" s="8">
        <v>342</v>
      </c>
    </row>
    <row r="63" spans="2:3" x14ac:dyDescent="0.3">
      <c r="B63" s="8">
        <v>88.5</v>
      </c>
      <c r="C63" s="8">
        <v>446</v>
      </c>
    </row>
    <row r="64" spans="2:3" x14ac:dyDescent="0.3">
      <c r="B64" s="8">
        <v>84.9</v>
      </c>
      <c r="C64" s="8">
        <v>477</v>
      </c>
    </row>
    <row r="65" spans="2:3" x14ac:dyDescent="0.3">
      <c r="B65" s="8">
        <v>84.3</v>
      </c>
      <c r="C65" s="8">
        <v>444</v>
      </c>
    </row>
    <row r="66" spans="2:3" x14ac:dyDescent="0.3">
      <c r="B66" s="8">
        <v>78.2</v>
      </c>
      <c r="C66" s="8">
        <v>351</v>
      </c>
    </row>
    <row r="67" spans="2:3" x14ac:dyDescent="0.3">
      <c r="B67" s="8">
        <v>80</v>
      </c>
      <c r="C67" s="8">
        <v>165</v>
      </c>
    </row>
    <row r="68" spans="2:3" x14ac:dyDescent="0.3">
      <c r="B68" s="8">
        <v>74.8</v>
      </c>
      <c r="C68" s="8">
        <v>317</v>
      </c>
    </row>
    <row r="69" spans="2:3" x14ac:dyDescent="0.3">
      <c r="B69" s="8">
        <v>78.5</v>
      </c>
      <c r="C69" s="8">
        <v>250</v>
      </c>
    </row>
    <row r="70" spans="2:3" x14ac:dyDescent="0.3">
      <c r="B70" s="8">
        <v>71.8</v>
      </c>
      <c r="C70" s="8">
        <v>217</v>
      </c>
    </row>
    <row r="71" spans="2:3" x14ac:dyDescent="0.3">
      <c r="B71" s="8">
        <v>69.900000000000006</v>
      </c>
      <c r="C71" s="8">
        <v>138</v>
      </c>
    </row>
    <row r="72" spans="2:3" x14ac:dyDescent="0.3">
      <c r="B72" s="8">
        <v>82.7</v>
      </c>
      <c r="C72" s="8">
        <v>302</v>
      </c>
    </row>
    <row r="73" spans="2:3" x14ac:dyDescent="0.3">
      <c r="B73" s="8">
        <v>74</v>
      </c>
      <c r="C73" s="8">
        <v>311</v>
      </c>
    </row>
    <row r="74" spans="2:3" x14ac:dyDescent="0.3">
      <c r="B74" s="8">
        <v>84</v>
      </c>
      <c r="C74" s="8">
        <v>373</v>
      </c>
    </row>
    <row r="75" spans="2:3" x14ac:dyDescent="0.3">
      <c r="B75" s="8">
        <v>84.7</v>
      </c>
      <c r="C75" s="8">
        <v>196</v>
      </c>
    </row>
    <row r="76" spans="2:3" x14ac:dyDescent="0.3">
      <c r="B76" s="8">
        <v>78.2</v>
      </c>
      <c r="C76" s="8">
        <v>306</v>
      </c>
    </row>
    <row r="77" spans="2:3" x14ac:dyDescent="0.3">
      <c r="B77" s="8">
        <v>85</v>
      </c>
      <c r="C77" s="8">
        <v>302</v>
      </c>
    </row>
    <row r="78" spans="2:3" x14ac:dyDescent="0.3">
      <c r="B78" s="8">
        <v>80.099999999999994</v>
      </c>
      <c r="C78" s="8">
        <v>278</v>
      </c>
    </row>
    <row r="79" spans="2:3" x14ac:dyDescent="0.3">
      <c r="B79" s="8">
        <v>85.3</v>
      </c>
      <c r="C79" s="8">
        <v>429</v>
      </c>
    </row>
    <row r="80" spans="2:3" x14ac:dyDescent="0.3">
      <c r="B80" s="8">
        <v>79.7</v>
      </c>
      <c r="C80" s="8">
        <v>338</v>
      </c>
    </row>
    <row r="81" spans="2:3" x14ac:dyDescent="0.3">
      <c r="B81" s="8">
        <v>79.599999999999994</v>
      </c>
      <c r="C81" s="8">
        <v>261</v>
      </c>
    </row>
    <row r="82" spans="2:3" x14ac:dyDescent="0.3">
      <c r="B82" s="8">
        <v>78.900000000000006</v>
      </c>
      <c r="C82" s="8">
        <v>256</v>
      </c>
    </row>
    <row r="83" spans="2:3" x14ac:dyDescent="0.3">
      <c r="B83" s="8">
        <v>78.5</v>
      </c>
      <c r="C83" s="8">
        <v>183</v>
      </c>
    </row>
    <row r="84" spans="2:3" x14ac:dyDescent="0.3">
      <c r="B84" s="8">
        <v>72</v>
      </c>
      <c r="C84" s="8">
        <v>274</v>
      </c>
    </row>
    <row r="85" spans="2:3" x14ac:dyDescent="0.3">
      <c r="B85" s="8">
        <v>74.2</v>
      </c>
      <c r="C85" s="8">
        <v>182</v>
      </c>
    </row>
    <row r="86" spans="2:3" x14ac:dyDescent="0.3">
      <c r="B86" s="8">
        <v>71.7</v>
      </c>
      <c r="C86" s="8">
        <v>183</v>
      </c>
    </row>
    <row r="87" spans="2:3" x14ac:dyDescent="0.3">
      <c r="B87" s="8">
        <v>80.7</v>
      </c>
      <c r="C87" s="8">
        <v>309</v>
      </c>
    </row>
    <row r="88" spans="2:3" x14ac:dyDescent="0.3">
      <c r="B88" s="8">
        <v>84.1</v>
      </c>
      <c r="C88" s="8">
        <v>178</v>
      </c>
    </row>
    <row r="89" spans="2:3" x14ac:dyDescent="0.3">
      <c r="B89" s="8">
        <v>87.4</v>
      </c>
      <c r="C89" s="8">
        <v>458</v>
      </c>
    </row>
    <row r="90" spans="2:3" x14ac:dyDescent="0.3">
      <c r="B90" s="8">
        <v>77.400000000000006</v>
      </c>
      <c r="C90" s="8">
        <v>234</v>
      </c>
    </row>
    <row r="91" spans="2:3" x14ac:dyDescent="0.3">
      <c r="B91" s="8">
        <v>84.7</v>
      </c>
      <c r="C91" s="8">
        <v>306</v>
      </c>
    </row>
    <row r="92" spans="2:3" x14ac:dyDescent="0.3">
      <c r="B92" s="8">
        <v>78.8</v>
      </c>
      <c r="C92" s="8">
        <v>400</v>
      </c>
    </row>
    <row r="93" spans="2:3" x14ac:dyDescent="0.3">
      <c r="B93" s="8">
        <v>92.7</v>
      </c>
      <c r="C93" s="8">
        <v>337</v>
      </c>
    </row>
    <row r="94" spans="2:3" x14ac:dyDescent="0.3">
      <c r="B94" s="8">
        <v>88.8</v>
      </c>
      <c r="C94" s="8">
        <v>325</v>
      </c>
    </row>
    <row r="95" spans="2:3" x14ac:dyDescent="0.3">
      <c r="B95" s="8">
        <v>86.6</v>
      </c>
      <c r="C95" s="8">
        <v>329</v>
      </c>
    </row>
    <row r="96" spans="2:3" x14ac:dyDescent="0.3">
      <c r="B96" s="8">
        <v>77.900000000000006</v>
      </c>
      <c r="C96" s="8">
        <v>369</v>
      </c>
    </row>
    <row r="97" spans="2:3" x14ac:dyDescent="0.3">
      <c r="B97" s="8">
        <v>86.1</v>
      </c>
      <c r="C97" s="8">
        <v>457</v>
      </c>
    </row>
    <row r="98" spans="2:3" x14ac:dyDescent="0.3">
      <c r="B98" s="8">
        <v>89.9</v>
      </c>
      <c r="C98" s="8">
        <v>421</v>
      </c>
    </row>
    <row r="99" spans="2:3" x14ac:dyDescent="0.3">
      <c r="B99" s="8">
        <v>83.1</v>
      </c>
      <c r="C99" s="8">
        <v>282</v>
      </c>
    </row>
    <row r="100" spans="2:3" x14ac:dyDescent="0.3">
      <c r="B100" s="8">
        <v>82.6</v>
      </c>
      <c r="C100" s="8">
        <v>256</v>
      </c>
    </row>
  </sheetData>
  <mergeCells count="1">
    <mergeCell ref="E5:G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0B637-5548-4EAF-A75A-31CBB469A7F0}">
  <sheetPr codeName="Sheet15">
    <tabColor theme="4" tint="0.59999389629810485"/>
  </sheetPr>
  <dimension ref="B1:G100"/>
  <sheetViews>
    <sheetView showGridLines="0" workbookViewId="0">
      <selection activeCell="E4" sqref="E4"/>
    </sheetView>
  </sheetViews>
  <sheetFormatPr defaultRowHeight="14.4" x14ac:dyDescent="0.3"/>
  <cols>
    <col min="1" max="1" width="2.88671875" customWidth="1"/>
    <col min="2" max="2" width="17.5546875" bestFit="1" customWidth="1"/>
    <col min="3" max="3" width="10.6640625" bestFit="1" customWidth="1"/>
    <col min="5" max="5" width="14.33203125" customWidth="1"/>
    <col min="6" max="7" width="12.88671875" customWidth="1"/>
  </cols>
  <sheetData>
    <row r="1" spans="2:7" ht="25.5" customHeight="1" x14ac:dyDescent="0.35">
      <c r="B1" s="17" t="s">
        <v>115</v>
      </c>
    </row>
    <row r="2" spans="2:7" ht="15" customHeight="1" x14ac:dyDescent="0.3">
      <c r="B2" s="27" t="s">
        <v>255</v>
      </c>
    </row>
    <row r="3" spans="2:7" ht="18" customHeight="1" x14ac:dyDescent="0.3"/>
    <row r="4" spans="2:7" x14ac:dyDescent="0.3">
      <c r="E4" s="3"/>
    </row>
    <row r="5" spans="2:7" x14ac:dyDescent="0.3">
      <c r="B5" s="7" t="s">
        <v>31</v>
      </c>
      <c r="C5" s="7" t="s">
        <v>69</v>
      </c>
      <c r="E5" s="109" t="s">
        <v>52</v>
      </c>
      <c r="F5" s="109"/>
      <c r="G5" s="109"/>
    </row>
    <row r="6" spans="2:7" x14ac:dyDescent="0.3">
      <c r="B6" s="8" t="s">
        <v>23</v>
      </c>
      <c r="C6" s="8">
        <v>90.2</v>
      </c>
      <c r="F6" s="16" t="s">
        <v>23</v>
      </c>
      <c r="G6" s="16" t="s">
        <v>25</v>
      </c>
    </row>
    <row r="7" spans="2:7" x14ac:dyDescent="0.3">
      <c r="B7" s="8" t="s">
        <v>23</v>
      </c>
      <c r="C7" s="8">
        <v>92.8</v>
      </c>
      <c r="E7" s="19" t="s">
        <v>17</v>
      </c>
      <c r="F7" s="65">
        <f>COUNTIFS($B$6:$B$100,F6)</f>
        <v>36</v>
      </c>
      <c r="G7" s="65">
        <f>COUNTIFS($B$6:$B$100,G6)</f>
        <v>59</v>
      </c>
    </row>
    <row r="8" spans="2:7" x14ac:dyDescent="0.3">
      <c r="B8" s="8" t="s">
        <v>25</v>
      </c>
      <c r="C8" s="8">
        <v>68.7</v>
      </c>
      <c r="E8" s="19" t="s">
        <v>55</v>
      </c>
      <c r="F8" s="66">
        <f>_xlfn.MAXIFS($C$6:$C$100,$B$6:$B$100,F6)-_xlfn.MINIFS($C$6:$C$100,$B$6:$B$100,F6)</f>
        <v>25.099999999999994</v>
      </c>
      <c r="G8" s="66">
        <f>_xlfn.MAXIFS($C$6:$C$100,$B$6:$B$100,G6)-_xlfn.MINIFS($C$6:$C$100,$B$6:$B$100,G6)</f>
        <v>27.300000000000004</v>
      </c>
    </row>
    <row r="9" spans="2:7" x14ac:dyDescent="0.3">
      <c r="B9" s="8" t="s">
        <v>25</v>
      </c>
      <c r="C9" s="8">
        <v>80.7</v>
      </c>
      <c r="E9" s="19" t="s">
        <v>59</v>
      </c>
      <c r="F9" s="66" cm="1">
        <f t="array" ref="F9">_xlfn.QUARTILE.INC(_xlfn._xlws.FILTER($C$6:$C$100,B6:B100=F6),3)-_xlfn.QUARTILE.INC(_xlfn._xlws.FILTER($C$6:$C$100,B6:B100=F6),1)</f>
        <v>10.424999999999997</v>
      </c>
      <c r="G9" s="66">
        <v>8.4</v>
      </c>
    </row>
    <row r="10" spans="2:7" x14ac:dyDescent="0.3">
      <c r="B10" s="8" t="s">
        <v>25</v>
      </c>
      <c r="C10" s="8">
        <v>74.900000000000006</v>
      </c>
      <c r="E10" s="19" t="s">
        <v>62</v>
      </c>
      <c r="F10" s="66">
        <v>6.6</v>
      </c>
      <c r="G10" s="66">
        <v>5.8</v>
      </c>
    </row>
    <row r="11" spans="2:7" x14ac:dyDescent="0.3">
      <c r="B11" s="8" t="s">
        <v>25</v>
      </c>
      <c r="C11" s="8">
        <v>80.7</v>
      </c>
    </row>
    <row r="12" spans="2:7" x14ac:dyDescent="0.3">
      <c r="B12" s="8" t="s">
        <v>25</v>
      </c>
      <c r="C12" s="8">
        <v>83.3</v>
      </c>
    </row>
    <row r="13" spans="2:7" x14ac:dyDescent="0.3">
      <c r="B13" s="8" t="s">
        <v>23</v>
      </c>
      <c r="C13" s="8">
        <v>88.7</v>
      </c>
    </row>
    <row r="14" spans="2:7" x14ac:dyDescent="0.3">
      <c r="B14" s="8" t="s">
        <v>25</v>
      </c>
      <c r="C14" s="8">
        <v>75.400000000000006</v>
      </c>
    </row>
    <row r="15" spans="2:7" x14ac:dyDescent="0.3">
      <c r="B15" s="8" t="s">
        <v>25</v>
      </c>
      <c r="C15" s="8">
        <v>82.1</v>
      </c>
    </row>
    <row r="16" spans="2:7" x14ac:dyDescent="0.3">
      <c r="B16" s="8" t="s">
        <v>23</v>
      </c>
      <c r="C16" s="8">
        <v>87.5</v>
      </c>
    </row>
    <row r="17" spans="2:3" x14ac:dyDescent="0.3">
      <c r="B17" s="8" t="s">
        <v>25</v>
      </c>
      <c r="C17" s="8">
        <v>66.900000000000006</v>
      </c>
    </row>
    <row r="18" spans="2:3" x14ac:dyDescent="0.3">
      <c r="B18" s="8" t="s">
        <v>23</v>
      </c>
      <c r="C18" s="8">
        <v>71.3</v>
      </c>
    </row>
    <row r="19" spans="2:3" x14ac:dyDescent="0.3">
      <c r="B19" s="8" t="s">
        <v>25</v>
      </c>
      <c r="C19" s="8">
        <v>76.8</v>
      </c>
    </row>
    <row r="20" spans="2:3" x14ac:dyDescent="0.3">
      <c r="B20" s="8" t="s">
        <v>23</v>
      </c>
      <c r="C20" s="8">
        <v>72.3</v>
      </c>
    </row>
    <row r="21" spans="2:3" x14ac:dyDescent="0.3">
      <c r="B21" s="8" t="s">
        <v>25</v>
      </c>
      <c r="C21" s="8">
        <v>72.400000000000006</v>
      </c>
    </row>
    <row r="22" spans="2:3" x14ac:dyDescent="0.3">
      <c r="B22" s="8" t="s">
        <v>25</v>
      </c>
      <c r="C22" s="8">
        <v>72</v>
      </c>
    </row>
    <row r="23" spans="2:3" x14ac:dyDescent="0.3">
      <c r="B23" s="8" t="s">
        <v>25</v>
      </c>
      <c r="C23" s="8">
        <v>81</v>
      </c>
    </row>
    <row r="24" spans="2:3" x14ac:dyDescent="0.3">
      <c r="B24" s="8" t="s">
        <v>23</v>
      </c>
      <c r="C24" s="8">
        <v>96.1</v>
      </c>
    </row>
    <row r="25" spans="2:3" x14ac:dyDescent="0.3">
      <c r="B25" s="8" t="s">
        <v>25</v>
      </c>
      <c r="C25" s="8">
        <v>76.7</v>
      </c>
    </row>
    <row r="26" spans="2:3" x14ac:dyDescent="0.3">
      <c r="B26" s="8" t="s">
        <v>23</v>
      </c>
      <c r="C26" s="8">
        <v>80.3</v>
      </c>
    </row>
    <row r="27" spans="2:3" x14ac:dyDescent="0.3">
      <c r="B27" s="8" t="s">
        <v>25</v>
      </c>
      <c r="C27" s="8">
        <v>77.8</v>
      </c>
    </row>
    <row r="28" spans="2:3" x14ac:dyDescent="0.3">
      <c r="B28" s="8" t="s">
        <v>25</v>
      </c>
      <c r="C28" s="8">
        <v>62.6</v>
      </c>
    </row>
    <row r="29" spans="2:3" x14ac:dyDescent="0.3">
      <c r="B29" s="8" t="s">
        <v>25</v>
      </c>
      <c r="C29" s="8">
        <v>80.2</v>
      </c>
    </row>
    <row r="30" spans="2:3" x14ac:dyDescent="0.3">
      <c r="B30" s="8" t="s">
        <v>23</v>
      </c>
      <c r="C30" s="8">
        <v>79.099999999999994</v>
      </c>
    </row>
    <row r="31" spans="2:3" x14ac:dyDescent="0.3">
      <c r="B31" s="8" t="s">
        <v>25</v>
      </c>
      <c r="C31" s="8">
        <v>77.8</v>
      </c>
    </row>
    <row r="32" spans="2:3" x14ac:dyDescent="0.3">
      <c r="B32" s="8" t="s">
        <v>25</v>
      </c>
      <c r="C32" s="8">
        <v>75.099999999999994</v>
      </c>
    </row>
    <row r="33" spans="2:3" x14ac:dyDescent="0.3">
      <c r="B33" s="8" t="s">
        <v>25</v>
      </c>
      <c r="C33" s="8">
        <v>82.2</v>
      </c>
    </row>
    <row r="34" spans="2:3" x14ac:dyDescent="0.3">
      <c r="B34" s="8" t="s">
        <v>25</v>
      </c>
      <c r="C34" s="8">
        <v>70.5</v>
      </c>
    </row>
    <row r="35" spans="2:3" x14ac:dyDescent="0.3">
      <c r="B35" s="8" t="s">
        <v>25</v>
      </c>
      <c r="C35" s="8">
        <v>70.8</v>
      </c>
    </row>
    <row r="36" spans="2:3" x14ac:dyDescent="0.3">
      <c r="B36" s="8" t="s">
        <v>23</v>
      </c>
      <c r="C36" s="8">
        <v>87.5</v>
      </c>
    </row>
    <row r="37" spans="2:3" x14ac:dyDescent="0.3">
      <c r="B37" s="8" t="s">
        <v>25</v>
      </c>
      <c r="C37" s="8">
        <v>79.5</v>
      </c>
    </row>
    <row r="38" spans="2:3" x14ac:dyDescent="0.3">
      <c r="B38" s="8" t="s">
        <v>23</v>
      </c>
      <c r="C38" s="8">
        <v>80.8</v>
      </c>
    </row>
    <row r="39" spans="2:3" x14ac:dyDescent="0.3">
      <c r="B39" s="8" t="s">
        <v>25</v>
      </c>
      <c r="C39" s="8">
        <v>79.599999999999994</v>
      </c>
    </row>
    <row r="40" spans="2:3" x14ac:dyDescent="0.3">
      <c r="B40" s="8" t="s">
        <v>23</v>
      </c>
      <c r="C40" s="8">
        <v>88.9</v>
      </c>
    </row>
    <row r="41" spans="2:3" x14ac:dyDescent="0.3">
      <c r="B41" s="8" t="s">
        <v>25</v>
      </c>
      <c r="C41" s="8">
        <v>85.9</v>
      </c>
    </row>
    <row r="42" spans="2:3" x14ac:dyDescent="0.3">
      <c r="B42" s="8" t="s">
        <v>23</v>
      </c>
      <c r="C42" s="8">
        <v>82.3</v>
      </c>
    </row>
    <row r="43" spans="2:3" x14ac:dyDescent="0.3">
      <c r="B43" s="8" t="s">
        <v>25</v>
      </c>
      <c r="C43" s="8">
        <v>76.7</v>
      </c>
    </row>
    <row r="44" spans="2:3" x14ac:dyDescent="0.3">
      <c r="B44" s="8" t="s">
        <v>25</v>
      </c>
      <c r="C44" s="8">
        <v>79.900000000000006</v>
      </c>
    </row>
    <row r="45" spans="2:3" x14ac:dyDescent="0.3">
      <c r="B45" s="8" t="s">
        <v>25</v>
      </c>
      <c r="C45" s="8">
        <v>86.2</v>
      </c>
    </row>
    <row r="46" spans="2:3" x14ac:dyDescent="0.3">
      <c r="B46" s="8" t="s">
        <v>25</v>
      </c>
      <c r="C46" s="8">
        <v>79.2</v>
      </c>
    </row>
    <row r="47" spans="2:3" x14ac:dyDescent="0.3">
      <c r="B47" s="8" t="s">
        <v>23</v>
      </c>
      <c r="C47" s="8">
        <v>83.4</v>
      </c>
    </row>
    <row r="48" spans="2:3" x14ac:dyDescent="0.3">
      <c r="B48" s="8" t="s">
        <v>25</v>
      </c>
      <c r="C48" s="8">
        <v>85.2</v>
      </c>
    </row>
    <row r="49" spans="2:3" x14ac:dyDescent="0.3">
      <c r="B49" s="8" t="s">
        <v>23</v>
      </c>
      <c r="C49" s="8">
        <v>77.8</v>
      </c>
    </row>
    <row r="50" spans="2:3" x14ac:dyDescent="0.3">
      <c r="B50" s="8" t="s">
        <v>25</v>
      </c>
      <c r="C50" s="8">
        <v>80.2</v>
      </c>
    </row>
    <row r="51" spans="2:3" x14ac:dyDescent="0.3">
      <c r="B51" s="8" t="s">
        <v>23</v>
      </c>
      <c r="C51" s="8">
        <v>71</v>
      </c>
    </row>
    <row r="52" spans="2:3" x14ac:dyDescent="0.3">
      <c r="B52" s="8" t="s">
        <v>23</v>
      </c>
      <c r="C52" s="8">
        <v>87.2</v>
      </c>
    </row>
    <row r="53" spans="2:3" x14ac:dyDescent="0.3">
      <c r="B53" s="8" t="s">
        <v>23</v>
      </c>
      <c r="C53" s="8">
        <v>82.9</v>
      </c>
    </row>
    <row r="54" spans="2:3" x14ac:dyDescent="0.3">
      <c r="B54" s="8" t="s">
        <v>25</v>
      </c>
      <c r="C54" s="8">
        <v>73.5</v>
      </c>
    </row>
    <row r="55" spans="2:3" x14ac:dyDescent="0.3">
      <c r="B55" s="8" t="s">
        <v>25</v>
      </c>
      <c r="C55" s="8">
        <v>74.599999999999994</v>
      </c>
    </row>
    <row r="56" spans="2:3" x14ac:dyDescent="0.3">
      <c r="B56" s="8" t="s">
        <v>23</v>
      </c>
      <c r="C56" s="8">
        <v>75.099999999999994</v>
      </c>
    </row>
    <row r="57" spans="2:3" x14ac:dyDescent="0.3">
      <c r="B57" s="8" t="s">
        <v>25</v>
      </c>
      <c r="C57" s="8">
        <v>85.1</v>
      </c>
    </row>
    <row r="58" spans="2:3" x14ac:dyDescent="0.3">
      <c r="B58" s="8" t="s">
        <v>23</v>
      </c>
      <c r="C58" s="8">
        <v>74.900000000000006</v>
      </c>
    </row>
    <row r="59" spans="2:3" x14ac:dyDescent="0.3">
      <c r="B59" s="8" t="s">
        <v>25</v>
      </c>
      <c r="C59" s="8">
        <v>84.6</v>
      </c>
    </row>
    <row r="60" spans="2:3" x14ac:dyDescent="0.3">
      <c r="B60" s="8" t="s">
        <v>23</v>
      </c>
      <c r="C60" s="8">
        <v>81.7</v>
      </c>
    </row>
    <row r="61" spans="2:3" x14ac:dyDescent="0.3">
      <c r="B61" s="8" t="s">
        <v>25</v>
      </c>
      <c r="C61" s="8">
        <v>81.400000000000006</v>
      </c>
    </row>
    <row r="62" spans="2:3" x14ac:dyDescent="0.3">
      <c r="B62" s="8" t="s">
        <v>23</v>
      </c>
      <c r="C62" s="8">
        <v>83.8</v>
      </c>
    </row>
    <row r="63" spans="2:3" x14ac:dyDescent="0.3">
      <c r="B63" s="8" t="s">
        <v>25</v>
      </c>
      <c r="C63" s="8">
        <v>88.5</v>
      </c>
    </row>
    <row r="64" spans="2:3" x14ac:dyDescent="0.3">
      <c r="B64" s="8" t="s">
        <v>25</v>
      </c>
      <c r="C64" s="8">
        <v>84.9</v>
      </c>
    </row>
    <row r="65" spans="2:3" x14ac:dyDescent="0.3">
      <c r="B65" s="8" t="s">
        <v>25</v>
      </c>
      <c r="C65" s="8">
        <v>84.3</v>
      </c>
    </row>
    <row r="66" spans="2:3" x14ac:dyDescent="0.3">
      <c r="B66" s="8" t="s">
        <v>25</v>
      </c>
      <c r="C66" s="8">
        <v>78.2</v>
      </c>
    </row>
    <row r="67" spans="2:3" x14ac:dyDescent="0.3">
      <c r="B67" s="8" t="s">
        <v>25</v>
      </c>
      <c r="C67" s="8">
        <v>80</v>
      </c>
    </row>
    <row r="68" spans="2:3" x14ac:dyDescent="0.3">
      <c r="B68" s="8" t="s">
        <v>23</v>
      </c>
      <c r="C68" s="8">
        <v>74.8</v>
      </c>
    </row>
    <row r="69" spans="2:3" x14ac:dyDescent="0.3">
      <c r="B69" s="8" t="s">
        <v>25</v>
      </c>
      <c r="C69" s="8">
        <v>78.5</v>
      </c>
    </row>
    <row r="70" spans="2:3" x14ac:dyDescent="0.3">
      <c r="B70" s="8" t="s">
        <v>25</v>
      </c>
      <c r="C70" s="8">
        <v>71.8</v>
      </c>
    </row>
    <row r="71" spans="2:3" x14ac:dyDescent="0.3">
      <c r="B71" s="8" t="s">
        <v>25</v>
      </c>
      <c r="C71" s="8">
        <v>69.900000000000006</v>
      </c>
    </row>
    <row r="72" spans="2:3" x14ac:dyDescent="0.3">
      <c r="B72" s="8" t="s">
        <v>23</v>
      </c>
      <c r="C72" s="8">
        <v>82.7</v>
      </c>
    </row>
    <row r="73" spans="2:3" x14ac:dyDescent="0.3">
      <c r="B73" s="8" t="s">
        <v>25</v>
      </c>
      <c r="C73" s="8">
        <v>74</v>
      </c>
    </row>
    <row r="74" spans="2:3" x14ac:dyDescent="0.3">
      <c r="B74" s="8" t="s">
        <v>23</v>
      </c>
      <c r="C74" s="8">
        <v>84</v>
      </c>
    </row>
    <row r="75" spans="2:3" x14ac:dyDescent="0.3">
      <c r="B75" s="8" t="s">
        <v>25</v>
      </c>
      <c r="C75" s="8">
        <v>84.7</v>
      </c>
    </row>
    <row r="76" spans="2:3" x14ac:dyDescent="0.3">
      <c r="B76" s="8" t="s">
        <v>25</v>
      </c>
      <c r="C76" s="8">
        <v>78.2</v>
      </c>
    </row>
    <row r="77" spans="2:3" x14ac:dyDescent="0.3">
      <c r="B77" s="8" t="s">
        <v>25</v>
      </c>
      <c r="C77" s="8">
        <v>85</v>
      </c>
    </row>
    <row r="78" spans="2:3" x14ac:dyDescent="0.3">
      <c r="B78" s="8" t="s">
        <v>23</v>
      </c>
      <c r="C78" s="8">
        <v>80.099999999999994</v>
      </c>
    </row>
    <row r="79" spans="2:3" x14ac:dyDescent="0.3">
      <c r="B79" s="8" t="s">
        <v>25</v>
      </c>
      <c r="C79" s="8">
        <v>85.3</v>
      </c>
    </row>
    <row r="80" spans="2:3" x14ac:dyDescent="0.3">
      <c r="B80" s="8" t="s">
        <v>25</v>
      </c>
      <c r="C80" s="8">
        <v>79.7</v>
      </c>
    </row>
    <row r="81" spans="2:3" x14ac:dyDescent="0.3">
      <c r="B81" s="8" t="s">
        <v>23</v>
      </c>
      <c r="C81" s="8">
        <v>79.599999999999994</v>
      </c>
    </row>
    <row r="82" spans="2:3" x14ac:dyDescent="0.3">
      <c r="B82" s="8" t="s">
        <v>23</v>
      </c>
      <c r="C82" s="8">
        <v>78.900000000000006</v>
      </c>
    </row>
    <row r="83" spans="2:3" x14ac:dyDescent="0.3">
      <c r="B83" s="8" t="s">
        <v>25</v>
      </c>
      <c r="C83" s="8">
        <v>78.5</v>
      </c>
    </row>
    <row r="84" spans="2:3" x14ac:dyDescent="0.3">
      <c r="B84" s="8" t="s">
        <v>23</v>
      </c>
      <c r="C84" s="8">
        <v>72</v>
      </c>
    </row>
    <row r="85" spans="2:3" x14ac:dyDescent="0.3">
      <c r="B85" s="8" t="s">
        <v>23</v>
      </c>
      <c r="C85" s="8">
        <v>74.2</v>
      </c>
    </row>
    <row r="86" spans="2:3" x14ac:dyDescent="0.3">
      <c r="B86" s="8" t="s">
        <v>23</v>
      </c>
      <c r="C86" s="8">
        <v>71.7</v>
      </c>
    </row>
    <row r="87" spans="2:3" x14ac:dyDescent="0.3">
      <c r="B87" s="8" t="s">
        <v>25</v>
      </c>
      <c r="C87" s="8">
        <v>80.7</v>
      </c>
    </row>
    <row r="88" spans="2:3" x14ac:dyDescent="0.3">
      <c r="B88" s="8" t="s">
        <v>25</v>
      </c>
      <c r="C88" s="8">
        <v>84.1</v>
      </c>
    </row>
    <row r="89" spans="2:3" x14ac:dyDescent="0.3">
      <c r="B89" s="8" t="s">
        <v>23</v>
      </c>
      <c r="C89" s="8">
        <v>87.4</v>
      </c>
    </row>
    <row r="90" spans="2:3" x14ac:dyDescent="0.3">
      <c r="B90" s="8" t="s">
        <v>23</v>
      </c>
      <c r="C90" s="8">
        <v>77.400000000000006</v>
      </c>
    </row>
    <row r="91" spans="2:3" x14ac:dyDescent="0.3">
      <c r="B91" s="8" t="s">
        <v>25</v>
      </c>
      <c r="C91" s="8">
        <v>84.7</v>
      </c>
    </row>
    <row r="92" spans="2:3" x14ac:dyDescent="0.3">
      <c r="B92" s="8" t="s">
        <v>23</v>
      </c>
      <c r="C92" s="8">
        <v>78.8</v>
      </c>
    </row>
    <row r="93" spans="2:3" x14ac:dyDescent="0.3">
      <c r="B93" s="8" t="s">
        <v>23</v>
      </c>
      <c r="C93" s="8">
        <v>92.7</v>
      </c>
    </row>
    <row r="94" spans="2:3" x14ac:dyDescent="0.3">
      <c r="B94" s="8" t="s">
        <v>25</v>
      </c>
      <c r="C94" s="8">
        <v>88.8</v>
      </c>
    </row>
    <row r="95" spans="2:3" x14ac:dyDescent="0.3">
      <c r="B95" s="8" t="s">
        <v>25</v>
      </c>
      <c r="C95" s="8">
        <v>86.6</v>
      </c>
    </row>
    <row r="96" spans="2:3" x14ac:dyDescent="0.3">
      <c r="B96" s="8" t="s">
        <v>23</v>
      </c>
      <c r="C96" s="8">
        <v>77.900000000000006</v>
      </c>
    </row>
    <row r="97" spans="2:3" x14ac:dyDescent="0.3">
      <c r="B97" s="8" t="s">
        <v>25</v>
      </c>
      <c r="C97" s="8">
        <v>86.1</v>
      </c>
    </row>
    <row r="98" spans="2:3" x14ac:dyDescent="0.3">
      <c r="B98" s="8" t="s">
        <v>25</v>
      </c>
      <c r="C98" s="8">
        <v>89.9</v>
      </c>
    </row>
    <row r="99" spans="2:3" x14ac:dyDescent="0.3">
      <c r="B99" s="8" t="s">
        <v>25</v>
      </c>
      <c r="C99" s="8">
        <v>83.1</v>
      </c>
    </row>
    <row r="100" spans="2:3" x14ac:dyDescent="0.3">
      <c r="B100" s="8" t="s">
        <v>25</v>
      </c>
      <c r="C100" s="8">
        <v>82.6</v>
      </c>
    </row>
  </sheetData>
  <mergeCells count="1">
    <mergeCell ref="E5:G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C4CFC-D1EE-40F6-859E-87763754F741}">
  <sheetPr codeName="Sheet16">
    <tabColor theme="5" tint="0.79998168889431442"/>
  </sheetPr>
  <dimension ref="A1:K100"/>
  <sheetViews>
    <sheetView showGridLines="0" workbookViewId="0">
      <selection activeCell="J4" sqref="J4"/>
    </sheetView>
  </sheetViews>
  <sheetFormatPr defaultRowHeight="14.4" x14ac:dyDescent="0.3"/>
  <cols>
    <col min="1" max="1" width="2.88671875" customWidth="1"/>
    <col min="2" max="2" width="10.6640625" bestFit="1" customWidth="1"/>
    <col min="4" max="4" width="13.44140625" bestFit="1" customWidth="1"/>
    <col min="5" max="5" width="10.33203125" bestFit="1" customWidth="1"/>
    <col min="7" max="8" width="11.44140625" customWidth="1"/>
    <col min="10" max="11" width="11.44140625" customWidth="1"/>
  </cols>
  <sheetData>
    <row r="1" spans="1:11" ht="25.5" customHeight="1" x14ac:dyDescent="0.35">
      <c r="A1" t="s">
        <v>119</v>
      </c>
      <c r="B1" s="17" t="s">
        <v>116</v>
      </c>
    </row>
    <row r="2" spans="1:11" ht="15" customHeight="1" x14ac:dyDescent="0.3">
      <c r="B2" s="27" t="s">
        <v>76</v>
      </c>
    </row>
    <row r="3" spans="1:11" ht="18" customHeight="1" x14ac:dyDescent="0.3"/>
    <row r="4" spans="1:11" x14ac:dyDescent="0.3">
      <c r="D4" s="3"/>
      <c r="G4" s="3"/>
      <c r="J4" s="3"/>
    </row>
    <row r="5" spans="1:11" x14ac:dyDescent="0.3">
      <c r="B5" s="7" t="s">
        <v>69</v>
      </c>
      <c r="D5" s="9" t="s">
        <v>69</v>
      </c>
      <c r="E5" t="s">
        <v>14</v>
      </c>
      <c r="G5" s="108" t="s">
        <v>77</v>
      </c>
      <c r="H5" s="108"/>
      <c r="J5" s="108" t="s">
        <v>78</v>
      </c>
      <c r="K5" s="108"/>
    </row>
    <row r="6" spans="1:11" x14ac:dyDescent="0.3">
      <c r="B6" s="8">
        <v>90.2</v>
      </c>
      <c r="D6" t="s">
        <v>33</v>
      </c>
      <c r="E6">
        <v>1</v>
      </c>
      <c r="G6" s="19" t="s">
        <v>41</v>
      </c>
      <c r="H6" s="69">
        <f>AVERAGE(B6:B100)</f>
        <v>80.169473684210516</v>
      </c>
      <c r="J6" s="19" t="s">
        <v>41</v>
      </c>
      <c r="K6" s="69">
        <f>H6</f>
        <v>80.169473684210516</v>
      </c>
    </row>
    <row r="7" spans="1:11" x14ac:dyDescent="0.3">
      <c r="B7" s="8">
        <v>92.8</v>
      </c>
      <c r="D7" t="s">
        <v>34</v>
      </c>
      <c r="E7">
        <v>3</v>
      </c>
      <c r="G7" s="19" t="s">
        <v>42</v>
      </c>
      <c r="H7" s="69">
        <f>MEDIAN(B6:B100)</f>
        <v>80.2</v>
      </c>
      <c r="J7" s="19" t="s">
        <v>62</v>
      </c>
      <c r="K7" s="69">
        <f>_xlfn.STDEV.S(B6:B100)</f>
        <v>6.1707800411122609</v>
      </c>
    </row>
    <row r="8" spans="1:11" x14ac:dyDescent="0.3">
      <c r="B8" s="8">
        <v>68.7</v>
      </c>
      <c r="D8" t="s">
        <v>35</v>
      </c>
      <c r="E8">
        <v>17</v>
      </c>
    </row>
    <row r="9" spans="1:11" x14ac:dyDescent="0.3">
      <c r="B9" s="8">
        <v>80.7</v>
      </c>
      <c r="D9" t="s">
        <v>36</v>
      </c>
      <c r="E9">
        <v>24</v>
      </c>
    </row>
    <row r="10" spans="1:11" x14ac:dyDescent="0.3">
      <c r="B10" s="8">
        <v>74.900000000000006</v>
      </c>
      <c r="D10" t="s">
        <v>37</v>
      </c>
      <c r="E10">
        <v>29</v>
      </c>
    </row>
    <row r="11" spans="1:11" x14ac:dyDescent="0.3">
      <c r="B11" s="8">
        <v>80.7</v>
      </c>
      <c r="D11" t="s">
        <v>38</v>
      </c>
      <c r="E11">
        <v>17</v>
      </c>
    </row>
    <row r="12" spans="1:11" x14ac:dyDescent="0.3">
      <c r="B12" s="8">
        <v>83.3</v>
      </c>
      <c r="D12" t="s">
        <v>39</v>
      </c>
      <c r="E12">
        <v>3</v>
      </c>
    </row>
    <row r="13" spans="1:11" x14ac:dyDescent="0.3">
      <c r="B13" s="8">
        <v>88.7</v>
      </c>
      <c r="D13" t="s">
        <v>40</v>
      </c>
      <c r="E13">
        <v>1</v>
      </c>
    </row>
    <row r="14" spans="1:11" x14ac:dyDescent="0.3">
      <c r="B14" s="8">
        <v>75.400000000000006</v>
      </c>
      <c r="D14" t="s">
        <v>16</v>
      </c>
      <c r="E14">
        <v>95</v>
      </c>
    </row>
    <row r="15" spans="1:11" x14ac:dyDescent="0.3">
      <c r="B15" s="8">
        <v>82.1</v>
      </c>
    </row>
    <row r="16" spans="1:11" x14ac:dyDescent="0.3">
      <c r="B16" s="8">
        <v>87.5</v>
      </c>
    </row>
    <row r="17" spans="2:2" x14ac:dyDescent="0.3">
      <c r="B17" s="8">
        <v>66.900000000000006</v>
      </c>
    </row>
    <row r="18" spans="2:2" x14ac:dyDescent="0.3">
      <c r="B18" s="8">
        <v>71.3</v>
      </c>
    </row>
    <row r="19" spans="2:2" x14ac:dyDescent="0.3">
      <c r="B19" s="8">
        <v>76.8</v>
      </c>
    </row>
    <row r="20" spans="2:2" x14ac:dyDescent="0.3">
      <c r="B20" s="8">
        <v>72.3</v>
      </c>
    </row>
    <row r="21" spans="2:2" x14ac:dyDescent="0.3">
      <c r="B21" s="8">
        <v>72.400000000000006</v>
      </c>
    </row>
    <row r="22" spans="2:2" x14ac:dyDescent="0.3">
      <c r="B22" s="8">
        <v>72</v>
      </c>
    </row>
    <row r="23" spans="2:2" x14ac:dyDescent="0.3">
      <c r="B23" s="8">
        <v>81</v>
      </c>
    </row>
    <row r="24" spans="2:2" x14ac:dyDescent="0.3">
      <c r="B24" s="8">
        <v>96.1</v>
      </c>
    </row>
    <row r="25" spans="2:2" x14ac:dyDescent="0.3">
      <c r="B25" s="8">
        <v>76.7</v>
      </c>
    </row>
    <row r="26" spans="2:2" x14ac:dyDescent="0.3">
      <c r="B26" s="8">
        <v>80.3</v>
      </c>
    </row>
    <row r="27" spans="2:2" x14ac:dyDescent="0.3">
      <c r="B27" s="8">
        <v>77.8</v>
      </c>
    </row>
    <row r="28" spans="2:2" x14ac:dyDescent="0.3">
      <c r="B28" s="8">
        <v>62.6</v>
      </c>
    </row>
    <row r="29" spans="2:2" x14ac:dyDescent="0.3">
      <c r="B29" s="8">
        <v>80.2</v>
      </c>
    </row>
    <row r="30" spans="2:2" x14ac:dyDescent="0.3">
      <c r="B30" s="8">
        <v>79.099999999999994</v>
      </c>
    </row>
    <row r="31" spans="2:2" x14ac:dyDescent="0.3">
      <c r="B31" s="8">
        <v>77.8</v>
      </c>
    </row>
    <row r="32" spans="2:2" x14ac:dyDescent="0.3">
      <c r="B32" s="8">
        <v>75.099999999999994</v>
      </c>
    </row>
    <row r="33" spans="2:2" x14ac:dyDescent="0.3">
      <c r="B33" s="8">
        <v>82.2</v>
      </c>
    </row>
    <row r="34" spans="2:2" x14ac:dyDescent="0.3">
      <c r="B34" s="8">
        <v>70.5</v>
      </c>
    </row>
    <row r="35" spans="2:2" x14ac:dyDescent="0.3">
      <c r="B35" s="8">
        <v>70.8</v>
      </c>
    </row>
    <row r="36" spans="2:2" x14ac:dyDescent="0.3">
      <c r="B36" s="8">
        <v>87.5</v>
      </c>
    </row>
    <row r="37" spans="2:2" x14ac:dyDescent="0.3">
      <c r="B37" s="8">
        <v>79.5</v>
      </c>
    </row>
    <row r="38" spans="2:2" x14ac:dyDescent="0.3">
      <c r="B38" s="8">
        <v>80.8</v>
      </c>
    </row>
    <row r="39" spans="2:2" x14ac:dyDescent="0.3">
      <c r="B39" s="8">
        <v>79.599999999999994</v>
      </c>
    </row>
    <row r="40" spans="2:2" x14ac:dyDescent="0.3">
      <c r="B40" s="8">
        <v>88.9</v>
      </c>
    </row>
    <row r="41" spans="2:2" x14ac:dyDescent="0.3">
      <c r="B41" s="8">
        <v>85.9</v>
      </c>
    </row>
    <row r="42" spans="2:2" x14ac:dyDescent="0.3">
      <c r="B42" s="8">
        <v>82.3</v>
      </c>
    </row>
    <row r="43" spans="2:2" x14ac:dyDescent="0.3">
      <c r="B43" s="8">
        <v>76.7</v>
      </c>
    </row>
    <row r="44" spans="2:2" x14ac:dyDescent="0.3">
      <c r="B44" s="8">
        <v>79.900000000000006</v>
      </c>
    </row>
    <row r="45" spans="2:2" x14ac:dyDescent="0.3">
      <c r="B45" s="8">
        <v>86.2</v>
      </c>
    </row>
    <row r="46" spans="2:2" x14ac:dyDescent="0.3">
      <c r="B46" s="8">
        <v>79.2</v>
      </c>
    </row>
    <row r="47" spans="2:2" x14ac:dyDescent="0.3">
      <c r="B47" s="8">
        <v>83.4</v>
      </c>
    </row>
    <row r="48" spans="2:2" x14ac:dyDescent="0.3">
      <c r="B48" s="8">
        <v>85.2</v>
      </c>
    </row>
    <row r="49" spans="2:2" x14ac:dyDescent="0.3">
      <c r="B49" s="8">
        <v>77.8</v>
      </c>
    </row>
    <row r="50" spans="2:2" x14ac:dyDescent="0.3">
      <c r="B50" s="8">
        <v>80.2</v>
      </c>
    </row>
    <row r="51" spans="2:2" x14ac:dyDescent="0.3">
      <c r="B51" s="8">
        <v>71</v>
      </c>
    </row>
    <row r="52" spans="2:2" x14ac:dyDescent="0.3">
      <c r="B52" s="8">
        <v>87.2</v>
      </c>
    </row>
    <row r="53" spans="2:2" x14ac:dyDescent="0.3">
      <c r="B53" s="8">
        <v>82.9</v>
      </c>
    </row>
    <row r="54" spans="2:2" x14ac:dyDescent="0.3">
      <c r="B54" s="8">
        <v>73.5</v>
      </c>
    </row>
    <row r="55" spans="2:2" x14ac:dyDescent="0.3">
      <c r="B55" s="8">
        <v>74.599999999999994</v>
      </c>
    </row>
    <row r="56" spans="2:2" x14ac:dyDescent="0.3">
      <c r="B56" s="8">
        <v>75.099999999999994</v>
      </c>
    </row>
    <row r="57" spans="2:2" x14ac:dyDescent="0.3">
      <c r="B57" s="8">
        <v>85.1</v>
      </c>
    </row>
    <row r="58" spans="2:2" x14ac:dyDescent="0.3">
      <c r="B58" s="8">
        <v>74.900000000000006</v>
      </c>
    </row>
    <row r="59" spans="2:2" x14ac:dyDescent="0.3">
      <c r="B59" s="8">
        <v>84.6</v>
      </c>
    </row>
    <row r="60" spans="2:2" x14ac:dyDescent="0.3">
      <c r="B60" s="8">
        <v>81.7</v>
      </c>
    </row>
    <row r="61" spans="2:2" x14ac:dyDescent="0.3">
      <c r="B61" s="8">
        <v>81.400000000000006</v>
      </c>
    </row>
    <row r="62" spans="2:2" x14ac:dyDescent="0.3">
      <c r="B62" s="8">
        <v>83.8</v>
      </c>
    </row>
    <row r="63" spans="2:2" x14ac:dyDescent="0.3">
      <c r="B63" s="8">
        <v>88.5</v>
      </c>
    </row>
    <row r="64" spans="2:2" x14ac:dyDescent="0.3">
      <c r="B64" s="8">
        <v>84.9</v>
      </c>
    </row>
    <row r="65" spans="2:2" x14ac:dyDescent="0.3">
      <c r="B65" s="8">
        <v>84.3</v>
      </c>
    </row>
    <row r="66" spans="2:2" x14ac:dyDescent="0.3">
      <c r="B66" s="8">
        <v>78.2</v>
      </c>
    </row>
    <row r="67" spans="2:2" x14ac:dyDescent="0.3">
      <c r="B67" s="8">
        <v>80</v>
      </c>
    </row>
    <row r="68" spans="2:2" x14ac:dyDescent="0.3">
      <c r="B68" s="8">
        <v>74.8</v>
      </c>
    </row>
    <row r="69" spans="2:2" x14ac:dyDescent="0.3">
      <c r="B69" s="8">
        <v>78.5</v>
      </c>
    </row>
    <row r="70" spans="2:2" x14ac:dyDescent="0.3">
      <c r="B70" s="8">
        <v>71.8</v>
      </c>
    </row>
    <row r="71" spans="2:2" x14ac:dyDescent="0.3">
      <c r="B71" s="8">
        <v>69.900000000000006</v>
      </c>
    </row>
    <row r="72" spans="2:2" x14ac:dyDescent="0.3">
      <c r="B72" s="8">
        <v>82.7</v>
      </c>
    </row>
    <row r="73" spans="2:2" x14ac:dyDescent="0.3">
      <c r="B73" s="8">
        <v>74</v>
      </c>
    </row>
    <row r="74" spans="2:2" x14ac:dyDescent="0.3">
      <c r="B74" s="8">
        <v>84</v>
      </c>
    </row>
    <row r="75" spans="2:2" x14ac:dyDescent="0.3">
      <c r="B75" s="8">
        <v>84.7</v>
      </c>
    </row>
    <row r="76" spans="2:2" x14ac:dyDescent="0.3">
      <c r="B76" s="8">
        <v>78.2</v>
      </c>
    </row>
    <row r="77" spans="2:2" x14ac:dyDescent="0.3">
      <c r="B77" s="8">
        <v>85</v>
      </c>
    </row>
    <row r="78" spans="2:2" x14ac:dyDescent="0.3">
      <c r="B78" s="8">
        <v>80.099999999999994</v>
      </c>
    </row>
    <row r="79" spans="2:2" x14ac:dyDescent="0.3">
      <c r="B79" s="8">
        <v>85.3</v>
      </c>
    </row>
    <row r="80" spans="2:2" x14ac:dyDescent="0.3">
      <c r="B80" s="8">
        <v>79.7</v>
      </c>
    </row>
    <row r="81" spans="2:2" x14ac:dyDescent="0.3">
      <c r="B81" s="8">
        <v>79.599999999999994</v>
      </c>
    </row>
    <row r="82" spans="2:2" x14ac:dyDescent="0.3">
      <c r="B82" s="8">
        <v>78.900000000000006</v>
      </c>
    </row>
    <row r="83" spans="2:2" x14ac:dyDescent="0.3">
      <c r="B83" s="8">
        <v>78.5</v>
      </c>
    </row>
    <row r="84" spans="2:2" x14ac:dyDescent="0.3">
      <c r="B84" s="8">
        <v>72</v>
      </c>
    </row>
    <row r="85" spans="2:2" x14ac:dyDescent="0.3">
      <c r="B85" s="8">
        <v>74.2</v>
      </c>
    </row>
    <row r="86" spans="2:2" x14ac:dyDescent="0.3">
      <c r="B86" s="8">
        <v>71.7</v>
      </c>
    </row>
    <row r="87" spans="2:2" x14ac:dyDescent="0.3">
      <c r="B87" s="8">
        <v>80.7</v>
      </c>
    </row>
    <row r="88" spans="2:2" x14ac:dyDescent="0.3">
      <c r="B88" s="8">
        <v>84.1</v>
      </c>
    </row>
    <row r="89" spans="2:2" x14ac:dyDescent="0.3">
      <c r="B89" s="8">
        <v>87.4</v>
      </c>
    </row>
    <row r="90" spans="2:2" x14ac:dyDescent="0.3">
      <c r="B90" s="8">
        <v>77.400000000000006</v>
      </c>
    </row>
    <row r="91" spans="2:2" x14ac:dyDescent="0.3">
      <c r="B91" s="8">
        <v>84.7</v>
      </c>
    </row>
    <row r="92" spans="2:2" x14ac:dyDescent="0.3">
      <c r="B92" s="8">
        <v>78.8</v>
      </c>
    </row>
    <row r="93" spans="2:2" x14ac:dyDescent="0.3">
      <c r="B93" s="8">
        <v>92.7</v>
      </c>
    </row>
    <row r="94" spans="2:2" x14ac:dyDescent="0.3">
      <c r="B94" s="8">
        <v>88.8</v>
      </c>
    </row>
    <row r="95" spans="2:2" x14ac:dyDescent="0.3">
      <c r="B95" s="8">
        <v>86.6</v>
      </c>
    </row>
    <row r="96" spans="2:2" x14ac:dyDescent="0.3">
      <c r="B96" s="8">
        <v>77.900000000000006</v>
      </c>
    </row>
    <row r="97" spans="2:2" x14ac:dyDescent="0.3">
      <c r="B97" s="8">
        <v>86.1</v>
      </c>
    </row>
    <row r="98" spans="2:2" x14ac:dyDescent="0.3">
      <c r="B98" s="8">
        <v>89.9</v>
      </c>
    </row>
    <row r="99" spans="2:2" x14ac:dyDescent="0.3">
      <c r="B99" s="8">
        <v>83.1</v>
      </c>
    </row>
    <row r="100" spans="2:2" x14ac:dyDescent="0.3">
      <c r="B100" s="8">
        <v>82.6</v>
      </c>
    </row>
  </sheetData>
  <mergeCells count="2">
    <mergeCell ref="G5:H5"/>
    <mergeCell ref="J5:K5"/>
  </mergeCell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0F3B9-74E3-4C35-9BD5-4CC8EACD2365}">
  <sheetPr codeName="Sheet17">
    <tabColor theme="5" tint="0.79998168889431442"/>
  </sheetPr>
  <dimension ref="B1:I100"/>
  <sheetViews>
    <sheetView showGridLines="0" workbookViewId="0">
      <selection activeCell="H4" sqref="H4"/>
    </sheetView>
  </sheetViews>
  <sheetFormatPr defaultRowHeight="14.4" x14ac:dyDescent="0.3"/>
  <cols>
    <col min="1" max="1" width="2.88671875" customWidth="1"/>
    <col min="2" max="2" width="10" bestFit="1" customWidth="1"/>
    <col min="3" max="3" width="10.6640625" bestFit="1" customWidth="1"/>
    <col min="5" max="5" width="13.44140625" bestFit="1" customWidth="1"/>
    <col min="6" max="6" width="10.33203125" bestFit="1" customWidth="1"/>
    <col min="8" max="9" width="11.44140625" customWidth="1"/>
  </cols>
  <sheetData>
    <row r="1" spans="2:9" ht="25.5" customHeight="1" x14ac:dyDescent="0.35">
      <c r="B1" s="17" t="s">
        <v>256</v>
      </c>
    </row>
    <row r="2" spans="2:9" ht="15" customHeight="1" x14ac:dyDescent="0.3">
      <c r="B2" s="27" t="s">
        <v>74</v>
      </c>
    </row>
    <row r="3" spans="2:9" ht="18" customHeight="1" x14ac:dyDescent="0.3"/>
    <row r="4" spans="2:9" x14ac:dyDescent="0.3">
      <c r="E4" s="3"/>
      <c r="H4" s="3"/>
    </row>
    <row r="5" spans="2:9" x14ac:dyDescent="0.3">
      <c r="B5" s="7" t="s">
        <v>19</v>
      </c>
      <c r="C5" s="7" t="s">
        <v>69</v>
      </c>
      <c r="E5" s="108" t="s">
        <v>78</v>
      </c>
      <c r="F5" s="108"/>
      <c r="H5" s="108" t="s">
        <v>79</v>
      </c>
      <c r="I5" s="108"/>
    </row>
    <row r="6" spans="2:9" x14ac:dyDescent="0.3">
      <c r="B6" s="8">
        <v>1</v>
      </c>
      <c r="C6" s="8">
        <v>90.2</v>
      </c>
      <c r="E6" s="19" t="s">
        <v>41</v>
      </c>
      <c r="F6" s="69">
        <f>AVERAGE(C6:C100)</f>
        <v>80.169473684210516</v>
      </c>
      <c r="H6" s="19" t="s">
        <v>80</v>
      </c>
      <c r="I6" s="16">
        <v>19</v>
      </c>
    </row>
    <row r="7" spans="2:9" x14ac:dyDescent="0.3">
      <c r="B7" s="8">
        <v>2</v>
      </c>
      <c r="C7" s="8">
        <v>92.8</v>
      </c>
      <c r="E7" s="19" t="s">
        <v>62</v>
      </c>
      <c r="F7" s="69">
        <f>_xlfn.STDEV.S(C6:C100)</f>
        <v>6.1707800411122609</v>
      </c>
      <c r="H7" s="19" t="s">
        <v>81</v>
      </c>
      <c r="I7" s="65">
        <f>VLOOKUP(I6,B6:C100,2,FALSE)</f>
        <v>96.1</v>
      </c>
    </row>
    <row r="8" spans="2:9" x14ac:dyDescent="0.3">
      <c r="B8" s="8">
        <v>3</v>
      </c>
      <c r="C8" s="8">
        <v>68.7</v>
      </c>
      <c r="H8" s="19" t="s">
        <v>82</v>
      </c>
      <c r="I8" s="69">
        <f>STANDARDIZE(I7,F6,F7)</f>
        <v>2.581606573180991</v>
      </c>
    </row>
    <row r="9" spans="2:9" x14ac:dyDescent="0.3">
      <c r="B9" s="8">
        <v>4</v>
      </c>
      <c r="C9" s="8">
        <v>80.7</v>
      </c>
    </row>
    <row r="10" spans="2:9" x14ac:dyDescent="0.3">
      <c r="B10" s="8">
        <v>5</v>
      </c>
      <c r="C10" s="8">
        <v>74.900000000000006</v>
      </c>
    </row>
    <row r="11" spans="2:9" x14ac:dyDescent="0.3">
      <c r="B11" s="8">
        <v>6</v>
      </c>
      <c r="C11" s="8">
        <v>80.7</v>
      </c>
    </row>
    <row r="12" spans="2:9" x14ac:dyDescent="0.3">
      <c r="B12" s="8">
        <v>7</v>
      </c>
      <c r="C12" s="8">
        <v>83.3</v>
      </c>
    </row>
    <row r="13" spans="2:9" x14ac:dyDescent="0.3">
      <c r="B13" s="8">
        <v>8</v>
      </c>
      <c r="C13" s="8">
        <v>88.7</v>
      </c>
    </row>
    <row r="14" spans="2:9" x14ac:dyDescent="0.3">
      <c r="B14" s="8">
        <v>9</v>
      </c>
      <c r="C14" s="8">
        <v>75.400000000000006</v>
      </c>
    </row>
    <row r="15" spans="2:9" x14ac:dyDescent="0.3">
      <c r="B15" s="8">
        <v>10</v>
      </c>
      <c r="C15" s="8">
        <v>82.1</v>
      </c>
    </row>
    <row r="16" spans="2:9" x14ac:dyDescent="0.3">
      <c r="B16" s="8">
        <v>11</v>
      </c>
      <c r="C16" s="8">
        <v>87.5</v>
      </c>
    </row>
    <row r="17" spans="2:3" x14ac:dyDescent="0.3">
      <c r="B17" s="8">
        <v>12</v>
      </c>
      <c r="C17" s="8">
        <v>66.900000000000006</v>
      </c>
    </row>
    <row r="18" spans="2:3" x14ac:dyDescent="0.3">
      <c r="B18" s="8">
        <v>13</v>
      </c>
      <c r="C18" s="8">
        <v>71.3</v>
      </c>
    </row>
    <row r="19" spans="2:3" x14ac:dyDescent="0.3">
      <c r="B19" s="8">
        <v>14</v>
      </c>
      <c r="C19" s="8">
        <v>76.8</v>
      </c>
    </row>
    <row r="20" spans="2:3" x14ac:dyDescent="0.3">
      <c r="B20" s="8">
        <v>15</v>
      </c>
      <c r="C20" s="8">
        <v>72.3</v>
      </c>
    </row>
    <row r="21" spans="2:3" x14ac:dyDescent="0.3">
      <c r="B21" s="8">
        <v>16</v>
      </c>
      <c r="C21" s="8">
        <v>72.400000000000006</v>
      </c>
    </row>
    <row r="22" spans="2:3" x14ac:dyDescent="0.3">
      <c r="B22" s="8">
        <v>17</v>
      </c>
      <c r="C22" s="8">
        <v>72</v>
      </c>
    </row>
    <row r="23" spans="2:3" x14ac:dyDescent="0.3">
      <c r="B23" s="8">
        <v>18</v>
      </c>
      <c r="C23" s="8">
        <v>81</v>
      </c>
    </row>
    <row r="24" spans="2:3" x14ac:dyDescent="0.3">
      <c r="B24" s="8">
        <v>19</v>
      </c>
      <c r="C24" s="8">
        <v>96.1</v>
      </c>
    </row>
    <row r="25" spans="2:3" x14ac:dyDescent="0.3">
      <c r="B25" s="8">
        <v>20</v>
      </c>
      <c r="C25" s="8">
        <v>76.7</v>
      </c>
    </row>
    <row r="26" spans="2:3" x14ac:dyDescent="0.3">
      <c r="B26" s="8">
        <v>21</v>
      </c>
      <c r="C26" s="8">
        <v>80.3</v>
      </c>
    </row>
    <row r="27" spans="2:3" x14ac:dyDescent="0.3">
      <c r="B27" s="8">
        <v>22</v>
      </c>
      <c r="C27" s="8">
        <v>77.8</v>
      </c>
    </row>
    <row r="28" spans="2:3" x14ac:dyDescent="0.3">
      <c r="B28" s="8">
        <v>23</v>
      </c>
      <c r="C28" s="8">
        <v>62.6</v>
      </c>
    </row>
    <row r="29" spans="2:3" x14ac:dyDescent="0.3">
      <c r="B29" s="8">
        <v>24</v>
      </c>
      <c r="C29" s="8">
        <v>80.2</v>
      </c>
    </row>
    <row r="30" spans="2:3" x14ac:dyDescent="0.3">
      <c r="B30" s="8">
        <v>25</v>
      </c>
      <c r="C30" s="8">
        <v>79.099999999999994</v>
      </c>
    </row>
    <row r="31" spans="2:3" x14ac:dyDescent="0.3">
      <c r="B31" s="8">
        <v>26</v>
      </c>
      <c r="C31" s="8">
        <v>77.8</v>
      </c>
    </row>
    <row r="32" spans="2:3" x14ac:dyDescent="0.3">
      <c r="B32" s="8">
        <v>27</v>
      </c>
      <c r="C32" s="8">
        <v>75.099999999999994</v>
      </c>
    </row>
    <row r="33" spans="2:3" x14ac:dyDescent="0.3">
      <c r="B33" s="8">
        <v>28</v>
      </c>
      <c r="C33" s="8">
        <v>82.2</v>
      </c>
    </row>
    <row r="34" spans="2:3" x14ac:dyDescent="0.3">
      <c r="B34" s="8">
        <v>29</v>
      </c>
      <c r="C34" s="8">
        <v>70.5</v>
      </c>
    </row>
    <row r="35" spans="2:3" x14ac:dyDescent="0.3">
      <c r="B35" s="8">
        <v>30</v>
      </c>
      <c r="C35" s="8">
        <v>70.8</v>
      </c>
    </row>
    <row r="36" spans="2:3" x14ac:dyDescent="0.3">
      <c r="B36" s="8">
        <v>31</v>
      </c>
      <c r="C36" s="8">
        <v>87.5</v>
      </c>
    </row>
    <row r="37" spans="2:3" x14ac:dyDescent="0.3">
      <c r="B37" s="8">
        <v>32</v>
      </c>
      <c r="C37" s="8">
        <v>79.5</v>
      </c>
    </row>
    <row r="38" spans="2:3" x14ac:dyDescent="0.3">
      <c r="B38" s="8">
        <v>33</v>
      </c>
      <c r="C38" s="8">
        <v>80.8</v>
      </c>
    </row>
    <row r="39" spans="2:3" x14ac:dyDescent="0.3">
      <c r="B39" s="8">
        <v>34</v>
      </c>
      <c r="C39" s="8">
        <v>79.599999999999994</v>
      </c>
    </row>
    <row r="40" spans="2:3" x14ac:dyDescent="0.3">
      <c r="B40" s="8">
        <v>35</v>
      </c>
      <c r="C40" s="8">
        <v>88.9</v>
      </c>
    </row>
    <row r="41" spans="2:3" x14ac:dyDescent="0.3">
      <c r="B41" s="8">
        <v>36</v>
      </c>
      <c r="C41" s="8">
        <v>85.9</v>
      </c>
    </row>
    <row r="42" spans="2:3" x14ac:dyDescent="0.3">
      <c r="B42" s="8">
        <v>37</v>
      </c>
      <c r="C42" s="8">
        <v>82.3</v>
      </c>
    </row>
    <row r="43" spans="2:3" x14ac:dyDescent="0.3">
      <c r="B43" s="8">
        <v>38</v>
      </c>
      <c r="C43" s="8">
        <v>76.7</v>
      </c>
    </row>
    <row r="44" spans="2:3" x14ac:dyDescent="0.3">
      <c r="B44" s="8">
        <v>39</v>
      </c>
      <c r="C44" s="8">
        <v>79.900000000000006</v>
      </c>
    </row>
    <row r="45" spans="2:3" x14ac:dyDescent="0.3">
      <c r="B45" s="8">
        <v>40</v>
      </c>
      <c r="C45" s="8">
        <v>86.2</v>
      </c>
    </row>
    <row r="46" spans="2:3" x14ac:dyDescent="0.3">
      <c r="B46" s="8">
        <v>41</v>
      </c>
      <c r="C46" s="8">
        <v>79.2</v>
      </c>
    </row>
    <row r="47" spans="2:3" x14ac:dyDescent="0.3">
      <c r="B47" s="8">
        <v>42</v>
      </c>
      <c r="C47" s="8">
        <v>83.4</v>
      </c>
    </row>
    <row r="48" spans="2:3" x14ac:dyDescent="0.3">
      <c r="B48" s="8">
        <v>43</v>
      </c>
      <c r="C48" s="8">
        <v>85.2</v>
      </c>
    </row>
    <row r="49" spans="2:3" x14ac:dyDescent="0.3">
      <c r="B49" s="8">
        <v>44</v>
      </c>
      <c r="C49" s="8">
        <v>77.8</v>
      </c>
    </row>
    <row r="50" spans="2:3" x14ac:dyDescent="0.3">
      <c r="B50" s="8">
        <v>45</v>
      </c>
      <c r="C50" s="8">
        <v>80.2</v>
      </c>
    </row>
    <row r="51" spans="2:3" x14ac:dyDescent="0.3">
      <c r="B51" s="8">
        <v>46</v>
      </c>
      <c r="C51" s="8">
        <v>71</v>
      </c>
    </row>
    <row r="52" spans="2:3" x14ac:dyDescent="0.3">
      <c r="B52" s="8">
        <v>47</v>
      </c>
      <c r="C52" s="8">
        <v>87.2</v>
      </c>
    </row>
    <row r="53" spans="2:3" x14ac:dyDescent="0.3">
      <c r="B53" s="8">
        <v>48</v>
      </c>
      <c r="C53" s="8">
        <v>82.9</v>
      </c>
    </row>
    <row r="54" spans="2:3" x14ac:dyDescent="0.3">
      <c r="B54" s="8">
        <v>49</v>
      </c>
      <c r="C54" s="8">
        <v>73.5</v>
      </c>
    </row>
    <row r="55" spans="2:3" x14ac:dyDescent="0.3">
      <c r="B55" s="8">
        <v>50</v>
      </c>
      <c r="C55" s="8">
        <v>74.599999999999994</v>
      </c>
    </row>
    <row r="56" spans="2:3" x14ac:dyDescent="0.3">
      <c r="B56" s="8">
        <v>51</v>
      </c>
      <c r="C56" s="8">
        <v>75.099999999999994</v>
      </c>
    </row>
    <row r="57" spans="2:3" x14ac:dyDescent="0.3">
      <c r="B57" s="8">
        <v>52</v>
      </c>
      <c r="C57" s="8">
        <v>85.1</v>
      </c>
    </row>
    <row r="58" spans="2:3" x14ac:dyDescent="0.3">
      <c r="B58" s="8">
        <v>53</v>
      </c>
      <c r="C58" s="8">
        <v>74.900000000000006</v>
      </c>
    </row>
    <row r="59" spans="2:3" x14ac:dyDescent="0.3">
      <c r="B59" s="8">
        <v>54</v>
      </c>
      <c r="C59" s="8">
        <v>84.6</v>
      </c>
    </row>
    <row r="60" spans="2:3" x14ac:dyDescent="0.3">
      <c r="B60" s="8">
        <v>55</v>
      </c>
      <c r="C60" s="8">
        <v>81.7</v>
      </c>
    </row>
    <row r="61" spans="2:3" x14ac:dyDescent="0.3">
      <c r="B61" s="8">
        <v>56</v>
      </c>
      <c r="C61" s="8">
        <v>81.400000000000006</v>
      </c>
    </row>
    <row r="62" spans="2:3" x14ac:dyDescent="0.3">
      <c r="B62" s="8">
        <v>57</v>
      </c>
      <c r="C62" s="8">
        <v>83.8</v>
      </c>
    </row>
    <row r="63" spans="2:3" x14ac:dyDescent="0.3">
      <c r="B63" s="8">
        <v>58</v>
      </c>
      <c r="C63" s="8">
        <v>88.5</v>
      </c>
    </row>
    <row r="64" spans="2:3" x14ac:dyDescent="0.3">
      <c r="B64" s="8">
        <v>59</v>
      </c>
      <c r="C64" s="8">
        <v>84.9</v>
      </c>
    </row>
    <row r="65" spans="2:3" x14ac:dyDescent="0.3">
      <c r="B65" s="8">
        <v>60</v>
      </c>
      <c r="C65" s="8">
        <v>84.3</v>
      </c>
    </row>
    <row r="66" spans="2:3" x14ac:dyDescent="0.3">
      <c r="B66" s="8">
        <v>61</v>
      </c>
      <c r="C66" s="8">
        <v>78.2</v>
      </c>
    </row>
    <row r="67" spans="2:3" x14ac:dyDescent="0.3">
      <c r="B67" s="8">
        <v>62</v>
      </c>
      <c r="C67" s="8">
        <v>80</v>
      </c>
    </row>
    <row r="68" spans="2:3" x14ac:dyDescent="0.3">
      <c r="B68" s="8">
        <v>63</v>
      </c>
      <c r="C68" s="8">
        <v>74.8</v>
      </c>
    </row>
    <row r="69" spans="2:3" x14ac:dyDescent="0.3">
      <c r="B69" s="8">
        <v>64</v>
      </c>
      <c r="C69" s="8">
        <v>78.5</v>
      </c>
    </row>
    <row r="70" spans="2:3" x14ac:dyDescent="0.3">
      <c r="B70" s="8">
        <v>65</v>
      </c>
      <c r="C70" s="8">
        <v>71.8</v>
      </c>
    </row>
    <row r="71" spans="2:3" x14ac:dyDescent="0.3">
      <c r="B71" s="8">
        <v>66</v>
      </c>
      <c r="C71" s="8">
        <v>69.900000000000006</v>
      </c>
    </row>
    <row r="72" spans="2:3" x14ac:dyDescent="0.3">
      <c r="B72" s="8">
        <v>67</v>
      </c>
      <c r="C72" s="8">
        <v>82.7</v>
      </c>
    </row>
    <row r="73" spans="2:3" x14ac:dyDescent="0.3">
      <c r="B73" s="8">
        <v>68</v>
      </c>
      <c r="C73" s="8">
        <v>74</v>
      </c>
    </row>
    <row r="74" spans="2:3" x14ac:dyDescent="0.3">
      <c r="B74" s="8">
        <v>69</v>
      </c>
      <c r="C74" s="8">
        <v>84</v>
      </c>
    </row>
    <row r="75" spans="2:3" x14ac:dyDescent="0.3">
      <c r="B75" s="8">
        <v>70</v>
      </c>
      <c r="C75" s="8">
        <v>84.7</v>
      </c>
    </row>
    <row r="76" spans="2:3" x14ac:dyDescent="0.3">
      <c r="B76" s="8">
        <v>71</v>
      </c>
      <c r="C76" s="8">
        <v>78.2</v>
      </c>
    </row>
    <row r="77" spans="2:3" x14ac:dyDescent="0.3">
      <c r="B77" s="8">
        <v>72</v>
      </c>
      <c r="C77" s="8">
        <v>85</v>
      </c>
    </row>
    <row r="78" spans="2:3" x14ac:dyDescent="0.3">
      <c r="B78" s="8">
        <v>73</v>
      </c>
      <c r="C78" s="8">
        <v>80.099999999999994</v>
      </c>
    </row>
    <row r="79" spans="2:3" x14ac:dyDescent="0.3">
      <c r="B79" s="8">
        <v>74</v>
      </c>
      <c r="C79" s="8">
        <v>85.3</v>
      </c>
    </row>
    <row r="80" spans="2:3" x14ac:dyDescent="0.3">
      <c r="B80" s="8">
        <v>75</v>
      </c>
      <c r="C80" s="8">
        <v>79.7</v>
      </c>
    </row>
    <row r="81" spans="2:3" x14ac:dyDescent="0.3">
      <c r="B81" s="8">
        <v>76</v>
      </c>
      <c r="C81" s="8">
        <v>79.599999999999994</v>
      </c>
    </row>
    <row r="82" spans="2:3" x14ac:dyDescent="0.3">
      <c r="B82" s="8">
        <v>77</v>
      </c>
      <c r="C82" s="8">
        <v>78.900000000000006</v>
      </c>
    </row>
    <row r="83" spans="2:3" x14ac:dyDescent="0.3">
      <c r="B83" s="8">
        <v>78</v>
      </c>
      <c r="C83" s="8">
        <v>78.5</v>
      </c>
    </row>
    <row r="84" spans="2:3" x14ac:dyDescent="0.3">
      <c r="B84" s="8">
        <v>79</v>
      </c>
      <c r="C84" s="8">
        <v>72</v>
      </c>
    </row>
    <row r="85" spans="2:3" x14ac:dyDescent="0.3">
      <c r="B85" s="8">
        <v>80</v>
      </c>
      <c r="C85" s="8">
        <v>74.2</v>
      </c>
    </row>
    <row r="86" spans="2:3" x14ac:dyDescent="0.3">
      <c r="B86" s="8">
        <v>81</v>
      </c>
      <c r="C86" s="8">
        <v>71.7</v>
      </c>
    </row>
    <row r="87" spans="2:3" x14ac:dyDescent="0.3">
      <c r="B87" s="8">
        <v>82</v>
      </c>
      <c r="C87" s="8">
        <v>80.7</v>
      </c>
    </row>
    <row r="88" spans="2:3" x14ac:dyDescent="0.3">
      <c r="B88" s="8">
        <v>83</v>
      </c>
      <c r="C88" s="8">
        <v>84.1</v>
      </c>
    </row>
    <row r="89" spans="2:3" x14ac:dyDescent="0.3">
      <c r="B89" s="8">
        <v>84</v>
      </c>
      <c r="C89" s="8">
        <v>87.4</v>
      </c>
    </row>
    <row r="90" spans="2:3" x14ac:dyDescent="0.3">
      <c r="B90" s="8">
        <v>85</v>
      </c>
      <c r="C90" s="8">
        <v>77.400000000000006</v>
      </c>
    </row>
    <row r="91" spans="2:3" x14ac:dyDescent="0.3">
      <c r="B91" s="8">
        <v>86</v>
      </c>
      <c r="C91" s="8">
        <v>84.7</v>
      </c>
    </row>
    <row r="92" spans="2:3" x14ac:dyDescent="0.3">
      <c r="B92" s="8">
        <v>87</v>
      </c>
      <c r="C92" s="8">
        <v>78.8</v>
      </c>
    </row>
    <row r="93" spans="2:3" x14ac:dyDescent="0.3">
      <c r="B93" s="8">
        <v>88</v>
      </c>
      <c r="C93" s="8">
        <v>92.7</v>
      </c>
    </row>
    <row r="94" spans="2:3" x14ac:dyDescent="0.3">
      <c r="B94" s="8">
        <v>89</v>
      </c>
      <c r="C94" s="8">
        <v>88.8</v>
      </c>
    </row>
    <row r="95" spans="2:3" x14ac:dyDescent="0.3">
      <c r="B95" s="8">
        <v>90</v>
      </c>
      <c r="C95" s="8">
        <v>86.6</v>
      </c>
    </row>
    <row r="96" spans="2:3" x14ac:dyDescent="0.3">
      <c r="B96" s="8">
        <v>91</v>
      </c>
      <c r="C96" s="8">
        <v>77.900000000000006</v>
      </c>
    </row>
    <row r="97" spans="2:3" x14ac:dyDescent="0.3">
      <c r="B97" s="8">
        <v>92</v>
      </c>
      <c r="C97" s="8">
        <v>86.1</v>
      </c>
    </row>
    <row r="98" spans="2:3" x14ac:dyDescent="0.3">
      <c r="B98" s="8">
        <v>93</v>
      </c>
      <c r="C98" s="8">
        <v>89.9</v>
      </c>
    </row>
    <row r="99" spans="2:3" x14ac:dyDescent="0.3">
      <c r="B99" s="8">
        <v>94</v>
      </c>
      <c r="C99" s="8">
        <v>83.1</v>
      </c>
    </row>
    <row r="100" spans="2:3" x14ac:dyDescent="0.3">
      <c r="B100" s="8">
        <v>95</v>
      </c>
      <c r="C100" s="8">
        <v>82.6</v>
      </c>
    </row>
  </sheetData>
  <mergeCells count="2">
    <mergeCell ref="E5:F5"/>
    <mergeCell ref="H5:I5"/>
  </mergeCells>
  <dataValidations count="1">
    <dataValidation type="list" allowBlank="1" showInputMessage="1" showErrorMessage="1" sqref="I6" xr:uid="{87BF1D10-BE58-4A59-983D-1D1EB63B73CA}">
      <formula1>$B$6:$B$100</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DFC24-8C8F-40CE-B015-4810A25FC490}">
  <sheetPr codeName="Sheet18">
    <tabColor theme="5" tint="0.79998168889431442"/>
  </sheetPr>
  <dimension ref="B1:J100"/>
  <sheetViews>
    <sheetView showGridLines="0" workbookViewId="0">
      <selection activeCell="H7" sqref="H7"/>
    </sheetView>
  </sheetViews>
  <sheetFormatPr defaultRowHeight="14.4" x14ac:dyDescent="0.3"/>
  <cols>
    <col min="1" max="1" width="2.88671875" customWidth="1"/>
    <col min="2" max="2" width="10.6640625" bestFit="1" customWidth="1"/>
    <col min="4" max="5" width="11.44140625" customWidth="1"/>
    <col min="7" max="7" width="21.6640625" customWidth="1"/>
    <col min="8" max="8" width="9.109375" customWidth="1"/>
  </cols>
  <sheetData>
    <row r="1" spans="2:10" ht="25.5" customHeight="1" x14ac:dyDescent="0.35">
      <c r="B1" s="17" t="s">
        <v>117</v>
      </c>
    </row>
    <row r="2" spans="2:10" ht="15" customHeight="1" x14ac:dyDescent="0.3">
      <c r="B2" s="27" t="s">
        <v>75</v>
      </c>
    </row>
    <row r="3" spans="2:10" ht="18" customHeight="1" x14ac:dyDescent="0.3"/>
    <row r="4" spans="2:10" x14ac:dyDescent="0.3">
      <c r="D4" s="3"/>
      <c r="G4" s="3"/>
    </row>
    <row r="5" spans="2:10" x14ac:dyDescent="0.3">
      <c r="B5" s="7" t="s">
        <v>69</v>
      </c>
      <c r="D5" s="108" t="s">
        <v>78</v>
      </c>
      <c r="E5" s="108"/>
      <c r="G5" s="108" t="s">
        <v>88</v>
      </c>
      <c r="H5" s="108"/>
      <c r="I5" s="108"/>
      <c r="J5" s="108"/>
    </row>
    <row r="6" spans="2:10" ht="15" customHeight="1" x14ac:dyDescent="0.3">
      <c r="B6" s="8">
        <v>90.2</v>
      </c>
      <c r="D6" s="19" t="s">
        <v>41</v>
      </c>
      <c r="E6" s="69">
        <f>AVERAGE(B6:B100)</f>
        <v>80.169473684210516</v>
      </c>
      <c r="G6" s="24" t="s">
        <v>83</v>
      </c>
      <c r="H6" s="16">
        <v>1</v>
      </c>
      <c r="I6" s="16">
        <v>2</v>
      </c>
      <c r="J6" s="16">
        <v>3</v>
      </c>
    </row>
    <row r="7" spans="2:10" x14ac:dyDescent="0.3">
      <c r="B7" s="8">
        <v>92.8</v>
      </c>
      <c r="D7" s="19" t="s">
        <v>62</v>
      </c>
      <c r="E7" s="69">
        <f>_xlfn.STDEV.S(B6:B100)</f>
        <v>6.1707800411122609</v>
      </c>
      <c r="G7" s="24" t="s">
        <v>84</v>
      </c>
      <c r="H7" s="66">
        <f>$E$6-H6*$E$7</f>
        <v>73.99869364309825</v>
      </c>
      <c r="I7" s="66">
        <f t="shared" ref="I7:J7" si="0">$E$6-I6*$E$7</f>
        <v>67.827913601985998</v>
      </c>
      <c r="J7" s="66">
        <f t="shared" si="0"/>
        <v>61.657133560873731</v>
      </c>
    </row>
    <row r="8" spans="2:10" x14ac:dyDescent="0.3">
      <c r="B8" s="8">
        <v>68.7</v>
      </c>
      <c r="G8" s="24" t="s">
        <v>85</v>
      </c>
      <c r="H8" s="66">
        <f>$E$6+H6*$E$7</f>
        <v>86.340253725322782</v>
      </c>
      <c r="I8" s="66">
        <f t="shared" ref="I8:J8" si="1">$E$6+I6*$E$7</f>
        <v>92.511033766435034</v>
      </c>
      <c r="J8" s="66">
        <f t="shared" si="1"/>
        <v>98.6818138075473</v>
      </c>
    </row>
    <row r="9" spans="2:10" x14ac:dyDescent="0.3">
      <c r="B9" s="8">
        <v>80.7</v>
      </c>
      <c r="G9" s="24" t="s">
        <v>86</v>
      </c>
      <c r="H9" s="71">
        <v>0.68</v>
      </c>
      <c r="I9" s="71">
        <v>0.95</v>
      </c>
      <c r="J9" s="72">
        <v>0.997</v>
      </c>
    </row>
    <row r="10" spans="2:10" x14ac:dyDescent="0.3">
      <c r="B10" s="8">
        <v>74.900000000000006</v>
      </c>
      <c r="G10" s="24" t="s">
        <v>87</v>
      </c>
      <c r="H10" s="73">
        <f>COUNTIFS($B$6:$B$100,"&gt;="&amp;H7,$B$6:$B$100,"&lt;="&amp;H8)/COUNT($B$6:$B$100)</f>
        <v>0.69473684210526321</v>
      </c>
      <c r="I10" s="73">
        <f t="shared" ref="I10:J10" si="2">COUNTIFS($B$6:$B$100,"&gt;="&amp;I7,$B$6:$B$100,"&lt;="&amp;I8)/COUNT($B$6:$B$100)</f>
        <v>0.94736842105263153</v>
      </c>
      <c r="J10" s="73">
        <f t="shared" si="2"/>
        <v>1</v>
      </c>
    </row>
    <row r="11" spans="2:10" x14ac:dyDescent="0.3">
      <c r="B11" s="8">
        <v>80.7</v>
      </c>
    </row>
    <row r="12" spans="2:10" x14ac:dyDescent="0.3">
      <c r="B12" s="8">
        <v>83.3</v>
      </c>
    </row>
    <row r="13" spans="2:10" x14ac:dyDescent="0.3">
      <c r="B13" s="8">
        <v>88.7</v>
      </c>
    </row>
    <row r="14" spans="2:10" x14ac:dyDescent="0.3">
      <c r="B14" s="8">
        <v>75.400000000000006</v>
      </c>
    </row>
    <row r="15" spans="2:10" x14ac:dyDescent="0.3">
      <c r="B15" s="8">
        <v>82.1</v>
      </c>
    </row>
    <row r="16" spans="2:10" x14ac:dyDescent="0.3">
      <c r="B16" s="8">
        <v>87.5</v>
      </c>
    </row>
    <row r="17" spans="2:2" x14ac:dyDescent="0.3">
      <c r="B17" s="8">
        <v>66.900000000000006</v>
      </c>
    </row>
    <row r="18" spans="2:2" x14ac:dyDescent="0.3">
      <c r="B18" s="8">
        <v>71.3</v>
      </c>
    </row>
    <row r="19" spans="2:2" x14ac:dyDescent="0.3">
      <c r="B19" s="8">
        <v>76.8</v>
      </c>
    </row>
    <row r="20" spans="2:2" x14ac:dyDescent="0.3">
      <c r="B20" s="8">
        <v>72.3</v>
      </c>
    </row>
    <row r="21" spans="2:2" x14ac:dyDescent="0.3">
      <c r="B21" s="8">
        <v>72.400000000000006</v>
      </c>
    </row>
    <row r="22" spans="2:2" x14ac:dyDescent="0.3">
      <c r="B22" s="8">
        <v>72</v>
      </c>
    </row>
    <row r="23" spans="2:2" x14ac:dyDescent="0.3">
      <c r="B23" s="8">
        <v>81</v>
      </c>
    </row>
    <row r="24" spans="2:2" x14ac:dyDescent="0.3">
      <c r="B24" s="8">
        <v>96.1</v>
      </c>
    </row>
    <row r="25" spans="2:2" x14ac:dyDescent="0.3">
      <c r="B25" s="8">
        <v>76.7</v>
      </c>
    </row>
    <row r="26" spans="2:2" x14ac:dyDescent="0.3">
      <c r="B26" s="8">
        <v>80.3</v>
      </c>
    </row>
    <row r="27" spans="2:2" x14ac:dyDescent="0.3">
      <c r="B27" s="8">
        <v>77.8</v>
      </c>
    </row>
    <row r="28" spans="2:2" x14ac:dyDescent="0.3">
      <c r="B28" s="8">
        <v>62.6</v>
      </c>
    </row>
    <row r="29" spans="2:2" x14ac:dyDescent="0.3">
      <c r="B29" s="8">
        <v>80.2</v>
      </c>
    </row>
    <row r="30" spans="2:2" x14ac:dyDescent="0.3">
      <c r="B30" s="8">
        <v>79.099999999999994</v>
      </c>
    </row>
    <row r="31" spans="2:2" x14ac:dyDescent="0.3">
      <c r="B31" s="8">
        <v>77.8</v>
      </c>
    </row>
    <row r="32" spans="2:2" x14ac:dyDescent="0.3">
      <c r="B32" s="8">
        <v>75.099999999999994</v>
      </c>
    </row>
    <row r="33" spans="2:2" x14ac:dyDescent="0.3">
      <c r="B33" s="8">
        <v>82.2</v>
      </c>
    </row>
    <row r="34" spans="2:2" x14ac:dyDescent="0.3">
      <c r="B34" s="8">
        <v>70.5</v>
      </c>
    </row>
    <row r="35" spans="2:2" x14ac:dyDescent="0.3">
      <c r="B35" s="8">
        <v>70.8</v>
      </c>
    </row>
    <row r="36" spans="2:2" x14ac:dyDescent="0.3">
      <c r="B36" s="8">
        <v>87.5</v>
      </c>
    </row>
    <row r="37" spans="2:2" x14ac:dyDescent="0.3">
      <c r="B37" s="8">
        <v>79.5</v>
      </c>
    </row>
    <row r="38" spans="2:2" x14ac:dyDescent="0.3">
      <c r="B38" s="8">
        <v>80.8</v>
      </c>
    </row>
    <row r="39" spans="2:2" x14ac:dyDescent="0.3">
      <c r="B39" s="8">
        <v>79.599999999999994</v>
      </c>
    </row>
    <row r="40" spans="2:2" x14ac:dyDescent="0.3">
      <c r="B40" s="8">
        <v>88.9</v>
      </c>
    </row>
    <row r="41" spans="2:2" x14ac:dyDescent="0.3">
      <c r="B41" s="8">
        <v>85.9</v>
      </c>
    </row>
    <row r="42" spans="2:2" x14ac:dyDescent="0.3">
      <c r="B42" s="8">
        <v>82.3</v>
      </c>
    </row>
    <row r="43" spans="2:2" x14ac:dyDescent="0.3">
      <c r="B43" s="8">
        <v>76.7</v>
      </c>
    </row>
    <row r="44" spans="2:2" x14ac:dyDescent="0.3">
      <c r="B44" s="8">
        <v>79.900000000000006</v>
      </c>
    </row>
    <row r="45" spans="2:2" x14ac:dyDescent="0.3">
      <c r="B45" s="8">
        <v>86.2</v>
      </c>
    </row>
    <row r="46" spans="2:2" x14ac:dyDescent="0.3">
      <c r="B46" s="8">
        <v>79.2</v>
      </c>
    </row>
    <row r="47" spans="2:2" x14ac:dyDescent="0.3">
      <c r="B47" s="8">
        <v>83.4</v>
      </c>
    </row>
    <row r="48" spans="2:2" x14ac:dyDescent="0.3">
      <c r="B48" s="8">
        <v>85.2</v>
      </c>
    </row>
    <row r="49" spans="2:2" x14ac:dyDescent="0.3">
      <c r="B49" s="8">
        <v>77.8</v>
      </c>
    </row>
    <row r="50" spans="2:2" x14ac:dyDescent="0.3">
      <c r="B50" s="8">
        <v>80.2</v>
      </c>
    </row>
    <row r="51" spans="2:2" x14ac:dyDescent="0.3">
      <c r="B51" s="8">
        <v>71</v>
      </c>
    </row>
    <row r="52" spans="2:2" x14ac:dyDescent="0.3">
      <c r="B52" s="8">
        <v>87.2</v>
      </c>
    </row>
    <row r="53" spans="2:2" x14ac:dyDescent="0.3">
      <c r="B53" s="8">
        <v>82.9</v>
      </c>
    </row>
    <row r="54" spans="2:2" x14ac:dyDescent="0.3">
      <c r="B54" s="8">
        <v>73.5</v>
      </c>
    </row>
    <row r="55" spans="2:2" x14ac:dyDescent="0.3">
      <c r="B55" s="8">
        <v>74.599999999999994</v>
      </c>
    </row>
    <row r="56" spans="2:2" x14ac:dyDescent="0.3">
      <c r="B56" s="8">
        <v>75.099999999999994</v>
      </c>
    </row>
    <row r="57" spans="2:2" x14ac:dyDescent="0.3">
      <c r="B57" s="8">
        <v>85.1</v>
      </c>
    </row>
    <row r="58" spans="2:2" x14ac:dyDescent="0.3">
      <c r="B58" s="8">
        <v>74.900000000000006</v>
      </c>
    </row>
    <row r="59" spans="2:2" x14ac:dyDescent="0.3">
      <c r="B59" s="8">
        <v>84.6</v>
      </c>
    </row>
    <row r="60" spans="2:2" x14ac:dyDescent="0.3">
      <c r="B60" s="8">
        <v>81.7</v>
      </c>
    </row>
    <row r="61" spans="2:2" x14ac:dyDescent="0.3">
      <c r="B61" s="8">
        <v>81.400000000000006</v>
      </c>
    </row>
    <row r="62" spans="2:2" x14ac:dyDescent="0.3">
      <c r="B62" s="8">
        <v>83.8</v>
      </c>
    </row>
    <row r="63" spans="2:2" x14ac:dyDescent="0.3">
      <c r="B63" s="8">
        <v>88.5</v>
      </c>
    </row>
    <row r="64" spans="2:2" x14ac:dyDescent="0.3">
      <c r="B64" s="8">
        <v>84.9</v>
      </c>
    </row>
    <row r="65" spans="2:2" x14ac:dyDescent="0.3">
      <c r="B65" s="8">
        <v>84.3</v>
      </c>
    </row>
    <row r="66" spans="2:2" x14ac:dyDescent="0.3">
      <c r="B66" s="8">
        <v>78.2</v>
      </c>
    </row>
    <row r="67" spans="2:2" x14ac:dyDescent="0.3">
      <c r="B67" s="8">
        <v>80</v>
      </c>
    </row>
    <row r="68" spans="2:2" x14ac:dyDescent="0.3">
      <c r="B68" s="8">
        <v>74.8</v>
      </c>
    </row>
    <row r="69" spans="2:2" x14ac:dyDescent="0.3">
      <c r="B69" s="8">
        <v>78.5</v>
      </c>
    </row>
    <row r="70" spans="2:2" x14ac:dyDescent="0.3">
      <c r="B70" s="8">
        <v>71.8</v>
      </c>
    </row>
    <row r="71" spans="2:2" x14ac:dyDescent="0.3">
      <c r="B71" s="8">
        <v>69.900000000000006</v>
      </c>
    </row>
    <row r="72" spans="2:2" x14ac:dyDescent="0.3">
      <c r="B72" s="8">
        <v>82.7</v>
      </c>
    </row>
    <row r="73" spans="2:2" x14ac:dyDescent="0.3">
      <c r="B73" s="8">
        <v>74</v>
      </c>
    </row>
    <row r="74" spans="2:2" x14ac:dyDescent="0.3">
      <c r="B74" s="8">
        <v>84</v>
      </c>
    </row>
    <row r="75" spans="2:2" x14ac:dyDescent="0.3">
      <c r="B75" s="8">
        <v>84.7</v>
      </c>
    </row>
    <row r="76" spans="2:2" x14ac:dyDescent="0.3">
      <c r="B76" s="8">
        <v>78.2</v>
      </c>
    </row>
    <row r="77" spans="2:2" x14ac:dyDescent="0.3">
      <c r="B77" s="8">
        <v>85</v>
      </c>
    </row>
    <row r="78" spans="2:2" x14ac:dyDescent="0.3">
      <c r="B78" s="8">
        <v>80.099999999999994</v>
      </c>
    </row>
    <row r="79" spans="2:2" x14ac:dyDescent="0.3">
      <c r="B79" s="8">
        <v>85.3</v>
      </c>
    </row>
    <row r="80" spans="2:2" x14ac:dyDescent="0.3">
      <c r="B80" s="8">
        <v>79.7</v>
      </c>
    </row>
    <row r="81" spans="2:2" x14ac:dyDescent="0.3">
      <c r="B81" s="8">
        <v>79.599999999999994</v>
      </c>
    </row>
    <row r="82" spans="2:2" x14ac:dyDescent="0.3">
      <c r="B82" s="8">
        <v>78.900000000000006</v>
      </c>
    </row>
    <row r="83" spans="2:2" x14ac:dyDescent="0.3">
      <c r="B83" s="8">
        <v>78.5</v>
      </c>
    </row>
    <row r="84" spans="2:2" x14ac:dyDescent="0.3">
      <c r="B84" s="8">
        <v>72</v>
      </c>
    </row>
    <row r="85" spans="2:2" x14ac:dyDescent="0.3">
      <c r="B85" s="8">
        <v>74.2</v>
      </c>
    </row>
    <row r="86" spans="2:2" x14ac:dyDescent="0.3">
      <c r="B86" s="8">
        <v>71.7</v>
      </c>
    </row>
    <row r="87" spans="2:2" x14ac:dyDescent="0.3">
      <c r="B87" s="8">
        <v>80.7</v>
      </c>
    </row>
    <row r="88" spans="2:2" x14ac:dyDescent="0.3">
      <c r="B88" s="8">
        <v>84.1</v>
      </c>
    </row>
    <row r="89" spans="2:2" x14ac:dyDescent="0.3">
      <c r="B89" s="8">
        <v>87.4</v>
      </c>
    </row>
    <row r="90" spans="2:2" x14ac:dyDescent="0.3">
      <c r="B90" s="8">
        <v>77.400000000000006</v>
      </c>
    </row>
    <row r="91" spans="2:2" x14ac:dyDescent="0.3">
      <c r="B91" s="8">
        <v>84.7</v>
      </c>
    </row>
    <row r="92" spans="2:2" x14ac:dyDescent="0.3">
      <c r="B92" s="8">
        <v>78.8</v>
      </c>
    </row>
    <row r="93" spans="2:2" x14ac:dyDescent="0.3">
      <c r="B93" s="8">
        <v>92.7</v>
      </c>
    </row>
    <row r="94" spans="2:2" x14ac:dyDescent="0.3">
      <c r="B94" s="8">
        <v>88.8</v>
      </c>
    </row>
    <row r="95" spans="2:2" x14ac:dyDescent="0.3">
      <c r="B95" s="8">
        <v>86.6</v>
      </c>
    </row>
    <row r="96" spans="2:2" x14ac:dyDescent="0.3">
      <c r="B96" s="8">
        <v>77.900000000000006</v>
      </c>
    </row>
    <row r="97" spans="2:2" x14ac:dyDescent="0.3">
      <c r="B97" s="8">
        <v>86.1</v>
      </c>
    </row>
    <row r="98" spans="2:2" x14ac:dyDescent="0.3">
      <c r="B98" s="8">
        <v>89.9</v>
      </c>
    </row>
    <row r="99" spans="2:2" x14ac:dyDescent="0.3">
      <c r="B99" s="8">
        <v>83.1</v>
      </c>
    </row>
    <row r="100" spans="2:2" x14ac:dyDescent="0.3">
      <c r="B100" s="8">
        <v>82.6</v>
      </c>
    </row>
  </sheetData>
  <mergeCells count="2">
    <mergeCell ref="D5:E5"/>
    <mergeCell ref="G5:J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AFAF2-7BA0-4CFF-A102-57A5EF5851D4}">
  <sheetPr codeName="Sheet19">
    <tabColor theme="5" tint="0.59999389629810485"/>
  </sheetPr>
  <dimension ref="B1:M58"/>
  <sheetViews>
    <sheetView showGridLines="0" workbookViewId="0">
      <selection activeCell="J4" sqref="J4"/>
    </sheetView>
  </sheetViews>
  <sheetFormatPr defaultRowHeight="14.4" x14ac:dyDescent="0.3"/>
  <cols>
    <col min="1" max="1" width="2.88671875" customWidth="1"/>
    <col min="2" max="2" width="13.109375" bestFit="1" customWidth="1"/>
    <col min="4" max="5" width="11.44140625" customWidth="1"/>
    <col min="7" max="8" width="11.44140625" customWidth="1"/>
    <col min="11" max="13" width="11.44140625" customWidth="1"/>
  </cols>
  <sheetData>
    <row r="1" spans="2:13" ht="25.5" customHeight="1" x14ac:dyDescent="0.35">
      <c r="B1" s="17" t="s">
        <v>118</v>
      </c>
    </row>
    <row r="2" spans="2:13" ht="15" customHeight="1" x14ac:dyDescent="0.3">
      <c r="B2" s="27" t="s">
        <v>257</v>
      </c>
    </row>
    <row r="3" spans="2:13" ht="18" customHeight="1" x14ac:dyDescent="0.3"/>
    <row r="4" spans="2:13" x14ac:dyDescent="0.3">
      <c r="D4" s="3"/>
      <c r="G4" s="3"/>
      <c r="J4" s="3"/>
    </row>
    <row r="5" spans="2:13" x14ac:dyDescent="0.3">
      <c r="B5" s="7" t="s">
        <v>30</v>
      </c>
      <c r="D5" s="108" t="s">
        <v>77</v>
      </c>
      <c r="E5" s="108"/>
      <c r="G5" s="108" t="s">
        <v>78</v>
      </c>
      <c r="H5" s="108"/>
      <c r="J5" s="108" t="s">
        <v>88</v>
      </c>
      <c r="K5" s="108"/>
      <c r="L5" s="108"/>
      <c r="M5" s="108"/>
    </row>
    <row r="6" spans="2:13" ht="15" customHeight="1" x14ac:dyDescent="0.3">
      <c r="B6" s="12">
        <v>111000</v>
      </c>
      <c r="D6" s="19" t="s">
        <v>41</v>
      </c>
      <c r="E6" s="74">
        <f>AVERAGE(B6:B58)</f>
        <v>119386.7924528302</v>
      </c>
      <c r="G6" s="19" t="s">
        <v>41</v>
      </c>
      <c r="H6" s="74">
        <f>E6</f>
        <v>119386.7924528302</v>
      </c>
      <c r="J6" s="24" t="s">
        <v>83</v>
      </c>
      <c r="K6" s="16">
        <v>1</v>
      </c>
      <c r="L6" s="16">
        <v>2</v>
      </c>
      <c r="M6" s="16">
        <v>3</v>
      </c>
    </row>
    <row r="7" spans="2:13" x14ac:dyDescent="0.3">
      <c r="B7" s="12">
        <v>107000</v>
      </c>
      <c r="D7" s="19" t="s">
        <v>42</v>
      </c>
      <c r="E7" s="74">
        <f>MEDIAN(B6:B58)</f>
        <v>104500</v>
      </c>
      <c r="G7" s="19" t="s">
        <v>62</v>
      </c>
      <c r="H7" s="74">
        <f>_xlfn.STDEV.S(B6:B58)</f>
        <v>45546.958176470725</v>
      </c>
      <c r="J7" s="24" t="s">
        <v>84</v>
      </c>
      <c r="K7" s="74">
        <f>$H$6-K6*$H$7</f>
        <v>73839.83427635947</v>
      </c>
      <c r="L7" s="74">
        <f t="shared" ref="L7:M7" si="0">$H$6-L6*$H$7</f>
        <v>28292.876099888745</v>
      </c>
      <c r="M7" s="74">
        <f t="shared" si="0"/>
        <v>-17254.082076581995</v>
      </c>
    </row>
    <row r="8" spans="2:13" x14ac:dyDescent="0.3">
      <c r="B8" s="12">
        <v>109000</v>
      </c>
      <c r="J8" s="24" t="s">
        <v>85</v>
      </c>
      <c r="K8" s="74">
        <f>$H$6+K6*$H$7</f>
        <v>164933.75062930092</v>
      </c>
      <c r="L8" s="74">
        <f t="shared" ref="L8:M8" si="1">$H$6+L6*$H$7</f>
        <v>210480.70880577166</v>
      </c>
      <c r="M8" s="74">
        <f t="shared" si="1"/>
        <v>256027.66698224237</v>
      </c>
    </row>
    <row r="9" spans="2:13" ht="15" customHeight="1" x14ac:dyDescent="0.3">
      <c r="B9" s="12">
        <v>148000</v>
      </c>
      <c r="J9" s="24" t="s">
        <v>86</v>
      </c>
      <c r="K9" s="71">
        <v>0.68</v>
      </c>
      <c r="L9" s="71">
        <v>0.95</v>
      </c>
      <c r="M9" s="72">
        <v>0.997</v>
      </c>
    </row>
    <row r="10" spans="2:13" x14ac:dyDescent="0.3">
      <c r="B10" s="12">
        <v>255500</v>
      </c>
      <c r="J10" s="24"/>
      <c r="K10" s="73"/>
      <c r="L10" s="73"/>
      <c r="M10" s="73"/>
    </row>
    <row r="11" spans="2:13" x14ac:dyDescent="0.3">
      <c r="B11" s="12">
        <v>103500</v>
      </c>
    </row>
    <row r="12" spans="2:13" x14ac:dyDescent="0.3">
      <c r="B12" s="12">
        <v>114500</v>
      </c>
    </row>
    <row r="13" spans="2:13" x14ac:dyDescent="0.3">
      <c r="B13" s="12">
        <v>124000</v>
      </c>
    </row>
    <row r="14" spans="2:13" x14ac:dyDescent="0.3">
      <c r="B14" s="12">
        <v>132500</v>
      </c>
    </row>
    <row r="15" spans="2:13" x14ac:dyDescent="0.3">
      <c r="B15" s="12">
        <v>99000</v>
      </c>
    </row>
    <row r="16" spans="2:13" x14ac:dyDescent="0.3">
      <c r="B16" s="12">
        <v>124000</v>
      </c>
    </row>
    <row r="17" spans="2:2" x14ac:dyDescent="0.3">
      <c r="B17" s="12">
        <v>82000</v>
      </c>
    </row>
    <row r="18" spans="2:2" x14ac:dyDescent="0.3">
      <c r="B18" s="12">
        <v>185000</v>
      </c>
    </row>
    <row r="19" spans="2:2" x14ac:dyDescent="0.3">
      <c r="B19" s="12">
        <v>89500</v>
      </c>
    </row>
    <row r="20" spans="2:2" x14ac:dyDescent="0.3">
      <c r="B20" s="12">
        <v>91500</v>
      </c>
    </row>
    <row r="21" spans="2:2" x14ac:dyDescent="0.3">
      <c r="B21" s="12">
        <v>113500</v>
      </c>
    </row>
    <row r="22" spans="2:2" x14ac:dyDescent="0.3">
      <c r="B22" s="12">
        <v>99000</v>
      </c>
    </row>
    <row r="23" spans="2:2" x14ac:dyDescent="0.3">
      <c r="B23" s="12">
        <v>75500</v>
      </c>
    </row>
    <row r="24" spans="2:2" x14ac:dyDescent="0.3">
      <c r="B24" s="12">
        <v>86000</v>
      </c>
    </row>
    <row r="25" spans="2:2" x14ac:dyDescent="0.3">
      <c r="B25" s="12">
        <v>156500</v>
      </c>
    </row>
    <row r="26" spans="2:2" x14ac:dyDescent="0.3">
      <c r="B26" s="12">
        <v>99500</v>
      </c>
    </row>
    <row r="27" spans="2:2" x14ac:dyDescent="0.3">
      <c r="B27" s="12">
        <v>148000</v>
      </c>
    </row>
    <row r="28" spans="2:2" x14ac:dyDescent="0.3">
      <c r="B28" s="12">
        <v>82000</v>
      </c>
    </row>
    <row r="29" spans="2:2" x14ac:dyDescent="0.3">
      <c r="B29" s="12">
        <v>103500</v>
      </c>
    </row>
    <row r="30" spans="2:2" x14ac:dyDescent="0.3">
      <c r="B30" s="12">
        <v>205500</v>
      </c>
    </row>
    <row r="31" spans="2:2" x14ac:dyDescent="0.3">
      <c r="B31" s="12">
        <v>103500</v>
      </c>
    </row>
    <row r="32" spans="2:2" x14ac:dyDescent="0.3">
      <c r="B32" s="12">
        <v>340000</v>
      </c>
    </row>
    <row r="33" spans="2:2" x14ac:dyDescent="0.3">
      <c r="B33" s="12">
        <v>103500</v>
      </c>
    </row>
    <row r="34" spans="2:2" x14ac:dyDescent="0.3">
      <c r="B34" s="12">
        <v>99500</v>
      </c>
    </row>
    <row r="35" spans="2:2" x14ac:dyDescent="0.3">
      <c r="B35" s="12">
        <v>103000</v>
      </c>
    </row>
    <row r="36" spans="2:2" x14ac:dyDescent="0.3">
      <c r="B36" s="12">
        <v>103500</v>
      </c>
    </row>
    <row r="37" spans="2:2" x14ac:dyDescent="0.3">
      <c r="B37" s="12">
        <v>165000</v>
      </c>
    </row>
    <row r="38" spans="2:2" x14ac:dyDescent="0.3">
      <c r="B38" s="12">
        <v>124500</v>
      </c>
    </row>
    <row r="39" spans="2:2" x14ac:dyDescent="0.3">
      <c r="B39" s="12">
        <v>103500</v>
      </c>
    </row>
    <row r="40" spans="2:2" x14ac:dyDescent="0.3">
      <c r="B40" s="12">
        <v>82500</v>
      </c>
    </row>
    <row r="41" spans="2:2" x14ac:dyDescent="0.3">
      <c r="B41" s="12">
        <v>93000</v>
      </c>
    </row>
    <row r="42" spans="2:2" x14ac:dyDescent="0.3">
      <c r="B42" s="12">
        <v>168000</v>
      </c>
    </row>
    <row r="43" spans="2:2" x14ac:dyDescent="0.3">
      <c r="B43" s="12">
        <v>96000</v>
      </c>
    </row>
    <row r="44" spans="2:2" x14ac:dyDescent="0.3">
      <c r="B44" s="12">
        <v>80000</v>
      </c>
    </row>
    <row r="45" spans="2:2" x14ac:dyDescent="0.3">
      <c r="B45" s="12">
        <v>124500</v>
      </c>
    </row>
    <row r="46" spans="2:2" x14ac:dyDescent="0.3">
      <c r="B46" s="12">
        <v>99000</v>
      </c>
    </row>
    <row r="47" spans="2:2" x14ac:dyDescent="0.3">
      <c r="B47" s="12">
        <v>124000</v>
      </c>
    </row>
    <row r="48" spans="2:2" x14ac:dyDescent="0.3">
      <c r="B48" s="12">
        <v>91500</v>
      </c>
    </row>
    <row r="49" spans="2:2" x14ac:dyDescent="0.3">
      <c r="B49" s="12">
        <v>144500</v>
      </c>
    </row>
    <row r="50" spans="2:2" x14ac:dyDescent="0.3">
      <c r="B50" s="12">
        <v>114500</v>
      </c>
    </row>
    <row r="51" spans="2:2" x14ac:dyDescent="0.3">
      <c r="B51" s="12">
        <v>104500</v>
      </c>
    </row>
    <row r="52" spans="2:2" x14ac:dyDescent="0.3">
      <c r="B52" s="12">
        <v>124000</v>
      </c>
    </row>
    <row r="53" spans="2:2" x14ac:dyDescent="0.3">
      <c r="B53" s="12">
        <v>113000</v>
      </c>
    </row>
    <row r="54" spans="2:2" x14ac:dyDescent="0.3">
      <c r="B54" s="12">
        <v>78000</v>
      </c>
    </row>
    <row r="55" spans="2:2" x14ac:dyDescent="0.3">
      <c r="B55" s="12">
        <v>109000</v>
      </c>
    </row>
    <row r="56" spans="2:2" x14ac:dyDescent="0.3">
      <c r="B56" s="12">
        <v>99500</v>
      </c>
    </row>
    <row r="57" spans="2:2" x14ac:dyDescent="0.3">
      <c r="B57" s="12">
        <v>107000</v>
      </c>
    </row>
    <row r="58" spans="2:2" x14ac:dyDescent="0.3">
      <c r="B58" s="12">
        <v>84000</v>
      </c>
    </row>
  </sheetData>
  <mergeCells count="3">
    <mergeCell ref="D5:E5"/>
    <mergeCell ref="G5:H5"/>
    <mergeCell ref="J5:M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D64EF-C1B4-49BA-BC39-462390A4CA11}">
  <sheetPr codeName="Sheet20">
    <tabColor theme="5" tint="0.79998168889431442"/>
  </sheetPr>
  <dimension ref="A1:H100"/>
  <sheetViews>
    <sheetView showGridLines="0" workbookViewId="0">
      <selection activeCell="I13" sqref="I13"/>
    </sheetView>
  </sheetViews>
  <sheetFormatPr defaultRowHeight="14.4" x14ac:dyDescent="0.3"/>
  <cols>
    <col min="1" max="1" width="2.88671875" customWidth="1"/>
    <col min="2" max="2" width="10.6640625" bestFit="1" customWidth="1"/>
    <col min="4" max="5" width="11.44140625" customWidth="1"/>
    <col min="7" max="7" width="20" customWidth="1"/>
  </cols>
  <sheetData>
    <row r="1" spans="1:8" ht="25.5" customHeight="1" x14ac:dyDescent="0.35">
      <c r="B1" s="17" t="s">
        <v>120</v>
      </c>
    </row>
    <row r="2" spans="1:8" ht="15" customHeight="1" x14ac:dyDescent="0.3">
      <c r="A2" t="s">
        <v>119</v>
      </c>
      <c r="B2" s="27" t="s">
        <v>261</v>
      </c>
    </row>
    <row r="3" spans="1:8" ht="18" customHeight="1" x14ac:dyDescent="0.3"/>
    <row r="4" spans="1:8" x14ac:dyDescent="0.3">
      <c r="D4" s="3"/>
      <c r="G4" s="3"/>
    </row>
    <row r="5" spans="1:8" x14ac:dyDescent="0.3">
      <c r="B5" s="7" t="s">
        <v>69</v>
      </c>
      <c r="D5" s="108" t="s">
        <v>78</v>
      </c>
      <c r="E5" s="108"/>
      <c r="G5" s="108" t="s">
        <v>259</v>
      </c>
      <c r="H5" s="108"/>
    </row>
    <row r="6" spans="1:8" x14ac:dyDescent="0.3">
      <c r="B6" s="8">
        <v>90.2</v>
      </c>
      <c r="D6" s="19" t="s">
        <v>41</v>
      </c>
      <c r="E6" s="69">
        <f>AVERAGE(B6:B100)</f>
        <v>80.169473684210516</v>
      </c>
      <c r="G6" s="19" t="s">
        <v>93</v>
      </c>
      <c r="H6" s="65">
        <v>70</v>
      </c>
    </row>
    <row r="7" spans="1:8" x14ac:dyDescent="0.3">
      <c r="B7" s="8">
        <v>92.8</v>
      </c>
      <c r="D7" s="19" t="s">
        <v>62</v>
      </c>
      <c r="E7" s="69">
        <f>_xlfn.STDEV.S(B6:B100)</f>
        <v>6.1707800411122609</v>
      </c>
      <c r="G7" s="19" t="s">
        <v>258</v>
      </c>
      <c r="H7" s="75">
        <f>_xlfn.NORM.DIST(H6,E6,E7,TRUE)</f>
        <v>4.9675867098228202E-2</v>
      </c>
    </row>
    <row r="8" spans="1:8" x14ac:dyDescent="0.3">
      <c r="B8" s="8">
        <v>68.7</v>
      </c>
    </row>
    <row r="9" spans="1:8" x14ac:dyDescent="0.3">
      <c r="B9" s="8">
        <v>80.7</v>
      </c>
      <c r="D9" s="19"/>
      <c r="E9" s="26"/>
    </row>
    <row r="10" spans="1:8" x14ac:dyDescent="0.3">
      <c r="B10" s="8">
        <v>74.900000000000006</v>
      </c>
      <c r="D10" s="19"/>
      <c r="E10" s="26"/>
    </row>
    <row r="11" spans="1:8" x14ac:dyDescent="0.3">
      <c r="B11" s="8">
        <v>80.7</v>
      </c>
    </row>
    <row r="12" spans="1:8" x14ac:dyDescent="0.3">
      <c r="B12" s="8">
        <v>83.3</v>
      </c>
    </row>
    <row r="13" spans="1:8" x14ac:dyDescent="0.3">
      <c r="B13" s="8">
        <v>88.7</v>
      </c>
    </row>
    <row r="14" spans="1:8" x14ac:dyDescent="0.3">
      <c r="B14" s="8">
        <v>75.400000000000006</v>
      </c>
    </row>
    <row r="15" spans="1:8" x14ac:dyDescent="0.3">
      <c r="B15" s="8">
        <v>82.1</v>
      </c>
    </row>
    <row r="16" spans="1:8" x14ac:dyDescent="0.3">
      <c r="B16" s="8">
        <v>87.5</v>
      </c>
    </row>
    <row r="17" spans="2:2" x14ac:dyDescent="0.3">
      <c r="B17" s="8">
        <v>66.900000000000006</v>
      </c>
    </row>
    <row r="18" spans="2:2" x14ac:dyDescent="0.3">
      <c r="B18" s="8">
        <v>71.3</v>
      </c>
    </row>
    <row r="19" spans="2:2" x14ac:dyDescent="0.3">
      <c r="B19" s="8">
        <v>76.8</v>
      </c>
    </row>
    <row r="20" spans="2:2" x14ac:dyDescent="0.3">
      <c r="B20" s="8">
        <v>72.3</v>
      </c>
    </row>
    <row r="21" spans="2:2" x14ac:dyDescent="0.3">
      <c r="B21" s="8">
        <v>72.400000000000006</v>
      </c>
    </row>
    <row r="22" spans="2:2" x14ac:dyDescent="0.3">
      <c r="B22" s="8">
        <v>72</v>
      </c>
    </row>
    <row r="23" spans="2:2" x14ac:dyDescent="0.3">
      <c r="B23" s="8">
        <v>81</v>
      </c>
    </row>
    <row r="24" spans="2:2" x14ac:dyDescent="0.3">
      <c r="B24" s="8">
        <v>96.1</v>
      </c>
    </row>
    <row r="25" spans="2:2" x14ac:dyDescent="0.3">
      <c r="B25" s="8">
        <v>76.7</v>
      </c>
    </row>
    <row r="26" spans="2:2" x14ac:dyDescent="0.3">
      <c r="B26" s="8">
        <v>80.3</v>
      </c>
    </row>
    <row r="27" spans="2:2" x14ac:dyDescent="0.3">
      <c r="B27" s="8">
        <v>77.8</v>
      </c>
    </row>
    <row r="28" spans="2:2" x14ac:dyDescent="0.3">
      <c r="B28" s="8">
        <v>62.6</v>
      </c>
    </row>
    <row r="29" spans="2:2" x14ac:dyDescent="0.3">
      <c r="B29" s="8">
        <v>80.2</v>
      </c>
    </row>
    <row r="30" spans="2:2" x14ac:dyDescent="0.3">
      <c r="B30" s="8">
        <v>79.099999999999994</v>
      </c>
    </row>
    <row r="31" spans="2:2" x14ac:dyDescent="0.3">
      <c r="B31" s="8">
        <v>77.8</v>
      </c>
    </row>
    <row r="32" spans="2:2" x14ac:dyDescent="0.3">
      <c r="B32" s="8">
        <v>75.099999999999994</v>
      </c>
    </row>
    <row r="33" spans="2:2" x14ac:dyDescent="0.3">
      <c r="B33" s="8">
        <v>82.2</v>
      </c>
    </row>
    <row r="34" spans="2:2" x14ac:dyDescent="0.3">
      <c r="B34" s="8">
        <v>70.5</v>
      </c>
    </row>
    <row r="35" spans="2:2" x14ac:dyDescent="0.3">
      <c r="B35" s="8">
        <v>70.8</v>
      </c>
    </row>
    <row r="36" spans="2:2" x14ac:dyDescent="0.3">
      <c r="B36" s="8">
        <v>87.5</v>
      </c>
    </row>
    <row r="37" spans="2:2" x14ac:dyDescent="0.3">
      <c r="B37" s="8">
        <v>79.5</v>
      </c>
    </row>
    <row r="38" spans="2:2" x14ac:dyDescent="0.3">
      <c r="B38" s="8">
        <v>80.8</v>
      </c>
    </row>
    <row r="39" spans="2:2" x14ac:dyDescent="0.3">
      <c r="B39" s="8">
        <v>79.599999999999994</v>
      </c>
    </row>
    <row r="40" spans="2:2" x14ac:dyDescent="0.3">
      <c r="B40" s="8">
        <v>88.9</v>
      </c>
    </row>
    <row r="41" spans="2:2" x14ac:dyDescent="0.3">
      <c r="B41" s="8">
        <v>85.9</v>
      </c>
    </row>
    <row r="42" spans="2:2" x14ac:dyDescent="0.3">
      <c r="B42" s="8">
        <v>82.3</v>
      </c>
    </row>
    <row r="43" spans="2:2" x14ac:dyDescent="0.3">
      <c r="B43" s="8">
        <v>76.7</v>
      </c>
    </row>
    <row r="44" spans="2:2" x14ac:dyDescent="0.3">
      <c r="B44" s="8">
        <v>79.900000000000006</v>
      </c>
    </row>
    <row r="45" spans="2:2" x14ac:dyDescent="0.3">
      <c r="B45" s="8">
        <v>86.2</v>
      </c>
    </row>
    <row r="46" spans="2:2" x14ac:dyDescent="0.3">
      <c r="B46" s="8">
        <v>79.2</v>
      </c>
    </row>
    <row r="47" spans="2:2" x14ac:dyDescent="0.3">
      <c r="B47" s="8">
        <v>83.4</v>
      </c>
    </row>
    <row r="48" spans="2:2" x14ac:dyDescent="0.3">
      <c r="B48" s="8">
        <v>85.2</v>
      </c>
    </row>
    <row r="49" spans="2:2" x14ac:dyDescent="0.3">
      <c r="B49" s="8">
        <v>77.8</v>
      </c>
    </row>
    <row r="50" spans="2:2" x14ac:dyDescent="0.3">
      <c r="B50" s="8">
        <v>80.2</v>
      </c>
    </row>
    <row r="51" spans="2:2" x14ac:dyDescent="0.3">
      <c r="B51" s="8">
        <v>71</v>
      </c>
    </row>
    <row r="52" spans="2:2" x14ac:dyDescent="0.3">
      <c r="B52" s="8">
        <v>87.2</v>
      </c>
    </row>
    <row r="53" spans="2:2" x14ac:dyDescent="0.3">
      <c r="B53" s="8">
        <v>82.9</v>
      </c>
    </row>
    <row r="54" spans="2:2" x14ac:dyDescent="0.3">
      <c r="B54" s="8">
        <v>73.5</v>
      </c>
    </row>
    <row r="55" spans="2:2" x14ac:dyDescent="0.3">
      <c r="B55" s="8">
        <v>74.599999999999994</v>
      </c>
    </row>
    <row r="56" spans="2:2" x14ac:dyDescent="0.3">
      <c r="B56" s="8">
        <v>75.099999999999994</v>
      </c>
    </row>
    <row r="57" spans="2:2" x14ac:dyDescent="0.3">
      <c r="B57" s="8">
        <v>85.1</v>
      </c>
    </row>
    <row r="58" spans="2:2" x14ac:dyDescent="0.3">
      <c r="B58" s="8">
        <v>74.900000000000006</v>
      </c>
    </row>
    <row r="59" spans="2:2" x14ac:dyDescent="0.3">
      <c r="B59" s="8">
        <v>84.6</v>
      </c>
    </row>
    <row r="60" spans="2:2" x14ac:dyDescent="0.3">
      <c r="B60" s="8">
        <v>81.7</v>
      </c>
    </row>
    <row r="61" spans="2:2" x14ac:dyDescent="0.3">
      <c r="B61" s="8">
        <v>81.400000000000006</v>
      </c>
    </row>
    <row r="62" spans="2:2" x14ac:dyDescent="0.3">
      <c r="B62" s="8">
        <v>83.8</v>
      </c>
    </row>
    <row r="63" spans="2:2" x14ac:dyDescent="0.3">
      <c r="B63" s="8">
        <v>88.5</v>
      </c>
    </row>
    <row r="64" spans="2:2" x14ac:dyDescent="0.3">
      <c r="B64" s="8">
        <v>84.9</v>
      </c>
    </row>
    <row r="65" spans="2:2" x14ac:dyDescent="0.3">
      <c r="B65" s="8">
        <v>84.3</v>
      </c>
    </row>
    <row r="66" spans="2:2" x14ac:dyDescent="0.3">
      <c r="B66" s="8">
        <v>78.2</v>
      </c>
    </row>
    <row r="67" spans="2:2" x14ac:dyDescent="0.3">
      <c r="B67" s="8">
        <v>80</v>
      </c>
    </row>
    <row r="68" spans="2:2" x14ac:dyDescent="0.3">
      <c r="B68" s="8">
        <v>74.8</v>
      </c>
    </row>
    <row r="69" spans="2:2" x14ac:dyDescent="0.3">
      <c r="B69" s="8">
        <v>78.5</v>
      </c>
    </row>
    <row r="70" spans="2:2" x14ac:dyDescent="0.3">
      <c r="B70" s="8">
        <v>71.8</v>
      </c>
    </row>
    <row r="71" spans="2:2" x14ac:dyDescent="0.3">
      <c r="B71" s="8">
        <v>69.900000000000006</v>
      </c>
    </row>
    <row r="72" spans="2:2" x14ac:dyDescent="0.3">
      <c r="B72" s="8">
        <v>82.7</v>
      </c>
    </row>
    <row r="73" spans="2:2" x14ac:dyDescent="0.3">
      <c r="B73" s="8">
        <v>74</v>
      </c>
    </row>
    <row r="74" spans="2:2" x14ac:dyDescent="0.3">
      <c r="B74" s="8">
        <v>84</v>
      </c>
    </row>
    <row r="75" spans="2:2" x14ac:dyDescent="0.3">
      <c r="B75" s="8">
        <v>84.7</v>
      </c>
    </row>
    <row r="76" spans="2:2" x14ac:dyDescent="0.3">
      <c r="B76" s="8">
        <v>78.2</v>
      </c>
    </row>
    <row r="77" spans="2:2" x14ac:dyDescent="0.3">
      <c r="B77" s="8">
        <v>85</v>
      </c>
    </row>
    <row r="78" spans="2:2" x14ac:dyDescent="0.3">
      <c r="B78" s="8">
        <v>80.099999999999994</v>
      </c>
    </row>
    <row r="79" spans="2:2" x14ac:dyDescent="0.3">
      <c r="B79" s="8">
        <v>85.3</v>
      </c>
    </row>
    <row r="80" spans="2:2" x14ac:dyDescent="0.3">
      <c r="B80" s="8">
        <v>79.7</v>
      </c>
    </row>
    <row r="81" spans="2:2" x14ac:dyDescent="0.3">
      <c r="B81" s="8">
        <v>79.599999999999994</v>
      </c>
    </row>
    <row r="82" spans="2:2" x14ac:dyDescent="0.3">
      <c r="B82" s="8">
        <v>78.900000000000006</v>
      </c>
    </row>
    <row r="83" spans="2:2" x14ac:dyDescent="0.3">
      <c r="B83" s="8">
        <v>78.5</v>
      </c>
    </row>
    <row r="84" spans="2:2" x14ac:dyDescent="0.3">
      <c r="B84" s="8">
        <v>72</v>
      </c>
    </row>
    <row r="85" spans="2:2" x14ac:dyDescent="0.3">
      <c r="B85" s="8">
        <v>74.2</v>
      </c>
    </row>
    <row r="86" spans="2:2" x14ac:dyDescent="0.3">
      <c r="B86" s="8">
        <v>71.7</v>
      </c>
    </row>
    <row r="87" spans="2:2" x14ac:dyDescent="0.3">
      <c r="B87" s="8">
        <v>80.7</v>
      </c>
    </row>
    <row r="88" spans="2:2" x14ac:dyDescent="0.3">
      <c r="B88" s="8">
        <v>84.1</v>
      </c>
    </row>
    <row r="89" spans="2:2" x14ac:dyDescent="0.3">
      <c r="B89" s="8">
        <v>87.4</v>
      </c>
    </row>
    <row r="90" spans="2:2" x14ac:dyDescent="0.3">
      <c r="B90" s="8">
        <v>77.400000000000006</v>
      </c>
    </row>
    <row r="91" spans="2:2" x14ac:dyDescent="0.3">
      <c r="B91" s="8">
        <v>84.7</v>
      </c>
    </row>
    <row r="92" spans="2:2" x14ac:dyDescent="0.3">
      <c r="B92" s="8">
        <v>78.8</v>
      </c>
    </row>
    <row r="93" spans="2:2" x14ac:dyDescent="0.3">
      <c r="B93" s="8">
        <v>92.7</v>
      </c>
    </row>
    <row r="94" spans="2:2" x14ac:dyDescent="0.3">
      <c r="B94" s="8">
        <v>88.8</v>
      </c>
    </row>
    <row r="95" spans="2:2" x14ac:dyDescent="0.3">
      <c r="B95" s="8">
        <v>86.6</v>
      </c>
    </row>
    <row r="96" spans="2:2" x14ac:dyDescent="0.3">
      <c r="B96" s="8">
        <v>77.900000000000006</v>
      </c>
    </row>
    <row r="97" spans="2:2" x14ac:dyDescent="0.3">
      <c r="B97" s="8">
        <v>86.1</v>
      </c>
    </row>
    <row r="98" spans="2:2" x14ac:dyDescent="0.3">
      <c r="B98" s="8">
        <v>89.9</v>
      </c>
    </row>
    <row r="99" spans="2:2" x14ac:dyDescent="0.3">
      <c r="B99" s="8">
        <v>83.1</v>
      </c>
    </row>
    <row r="100" spans="2:2" x14ac:dyDescent="0.3">
      <c r="B100" s="8">
        <v>82.6</v>
      </c>
    </row>
  </sheetData>
  <mergeCells count="2">
    <mergeCell ref="D5:E5"/>
    <mergeCell ref="G5:H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2C529-81A8-41DB-B6CC-BD7B3F2D3D72}">
  <sheetPr codeName="Sheet21">
    <tabColor theme="5" tint="0.79998168889431442"/>
  </sheetPr>
  <dimension ref="B1:E100"/>
  <sheetViews>
    <sheetView showGridLines="0" workbookViewId="0">
      <selection activeCell="E9" sqref="E9"/>
    </sheetView>
  </sheetViews>
  <sheetFormatPr defaultRowHeight="14.4" x14ac:dyDescent="0.3"/>
  <cols>
    <col min="1" max="1" width="2.88671875" customWidth="1"/>
    <col min="2" max="2" width="10.6640625" bestFit="1" customWidth="1"/>
    <col min="4" max="4" width="17.109375" customWidth="1"/>
    <col min="5" max="5" width="9.109375" customWidth="1"/>
  </cols>
  <sheetData>
    <row r="1" spans="2:5" ht="25.5" customHeight="1" x14ac:dyDescent="0.35">
      <c r="B1" s="17" t="s">
        <v>262</v>
      </c>
    </row>
    <row r="2" spans="2:5" ht="15" customHeight="1" x14ac:dyDescent="0.3">
      <c r="B2" s="27" t="s">
        <v>260</v>
      </c>
    </row>
    <row r="3" spans="2:5" ht="18" customHeight="1" x14ac:dyDescent="0.3"/>
    <row r="4" spans="2:5" x14ac:dyDescent="0.3">
      <c r="D4" s="3"/>
    </row>
    <row r="5" spans="2:5" x14ac:dyDescent="0.3">
      <c r="B5" s="7" t="s">
        <v>69</v>
      </c>
      <c r="D5" s="108" t="s">
        <v>259</v>
      </c>
      <c r="E5" s="108"/>
    </row>
    <row r="6" spans="2:5" x14ac:dyDescent="0.3">
      <c r="B6" s="8">
        <v>90.2</v>
      </c>
      <c r="D6" s="19" t="s">
        <v>97</v>
      </c>
      <c r="E6" s="65">
        <v>-1</v>
      </c>
    </row>
    <row r="7" spans="2:5" x14ac:dyDescent="0.3">
      <c r="B7" s="8">
        <v>92.8</v>
      </c>
      <c r="D7" s="19" t="s">
        <v>98</v>
      </c>
      <c r="E7" s="65">
        <v>1</v>
      </c>
    </row>
    <row r="8" spans="2:5" x14ac:dyDescent="0.3">
      <c r="B8" s="8">
        <v>68.7</v>
      </c>
      <c r="D8" s="19" t="s">
        <v>121</v>
      </c>
      <c r="E8" s="75">
        <f>_xlfn.NORM.S.DIST(E7,TRUE)-_xlfn.NORM.S.DIST(E6,TRUE)</f>
        <v>0.68268949213708607</v>
      </c>
    </row>
    <row r="9" spans="2:5" x14ac:dyDescent="0.3">
      <c r="B9" s="8">
        <v>80.7</v>
      </c>
      <c r="D9" s="19"/>
      <c r="E9" s="26"/>
    </row>
    <row r="10" spans="2:5" x14ac:dyDescent="0.3">
      <c r="B10" s="8">
        <v>74.900000000000006</v>
      </c>
    </row>
    <row r="11" spans="2:5" x14ac:dyDescent="0.3">
      <c r="B11" s="8">
        <v>80.7</v>
      </c>
    </row>
    <row r="12" spans="2:5" x14ac:dyDescent="0.3">
      <c r="B12" s="8">
        <v>83.3</v>
      </c>
    </row>
    <row r="13" spans="2:5" x14ac:dyDescent="0.3">
      <c r="B13" s="8">
        <v>88.7</v>
      </c>
    </row>
    <row r="14" spans="2:5" x14ac:dyDescent="0.3">
      <c r="B14" s="8">
        <v>75.400000000000006</v>
      </c>
    </row>
    <row r="15" spans="2:5" x14ac:dyDescent="0.3">
      <c r="B15" s="8">
        <v>82.1</v>
      </c>
    </row>
    <row r="16" spans="2:5" x14ac:dyDescent="0.3">
      <c r="B16" s="8">
        <v>87.5</v>
      </c>
    </row>
    <row r="17" spans="2:2" x14ac:dyDescent="0.3">
      <c r="B17" s="8">
        <v>66.900000000000006</v>
      </c>
    </row>
    <row r="18" spans="2:2" x14ac:dyDescent="0.3">
      <c r="B18" s="8">
        <v>71.3</v>
      </c>
    </row>
    <row r="19" spans="2:2" x14ac:dyDescent="0.3">
      <c r="B19" s="8">
        <v>76.8</v>
      </c>
    </row>
    <row r="20" spans="2:2" x14ac:dyDescent="0.3">
      <c r="B20" s="8">
        <v>72.3</v>
      </c>
    </row>
    <row r="21" spans="2:2" x14ac:dyDescent="0.3">
      <c r="B21" s="8">
        <v>72.400000000000006</v>
      </c>
    </row>
    <row r="22" spans="2:2" x14ac:dyDescent="0.3">
      <c r="B22" s="8">
        <v>72</v>
      </c>
    </row>
    <row r="23" spans="2:2" x14ac:dyDescent="0.3">
      <c r="B23" s="8">
        <v>81</v>
      </c>
    </row>
    <row r="24" spans="2:2" x14ac:dyDescent="0.3">
      <c r="B24" s="8">
        <v>96.1</v>
      </c>
    </row>
    <row r="25" spans="2:2" x14ac:dyDescent="0.3">
      <c r="B25" s="8">
        <v>76.7</v>
      </c>
    </row>
    <row r="26" spans="2:2" x14ac:dyDescent="0.3">
      <c r="B26" s="8">
        <v>80.3</v>
      </c>
    </row>
    <row r="27" spans="2:2" x14ac:dyDescent="0.3">
      <c r="B27" s="8">
        <v>77.8</v>
      </c>
    </row>
    <row r="28" spans="2:2" x14ac:dyDescent="0.3">
      <c r="B28" s="8">
        <v>62.6</v>
      </c>
    </row>
    <row r="29" spans="2:2" x14ac:dyDescent="0.3">
      <c r="B29" s="8">
        <v>80.2</v>
      </c>
    </row>
    <row r="30" spans="2:2" x14ac:dyDescent="0.3">
      <c r="B30" s="8">
        <v>79.099999999999994</v>
      </c>
    </row>
    <row r="31" spans="2:2" x14ac:dyDescent="0.3">
      <c r="B31" s="8">
        <v>77.8</v>
      </c>
    </row>
    <row r="32" spans="2:2" x14ac:dyDescent="0.3">
      <c r="B32" s="8">
        <v>75.099999999999994</v>
      </c>
    </row>
    <row r="33" spans="2:2" x14ac:dyDescent="0.3">
      <c r="B33" s="8">
        <v>82.2</v>
      </c>
    </row>
    <row r="34" spans="2:2" x14ac:dyDescent="0.3">
      <c r="B34" s="8">
        <v>70.5</v>
      </c>
    </row>
    <row r="35" spans="2:2" x14ac:dyDescent="0.3">
      <c r="B35" s="8">
        <v>70.8</v>
      </c>
    </row>
    <row r="36" spans="2:2" x14ac:dyDescent="0.3">
      <c r="B36" s="8">
        <v>87.5</v>
      </c>
    </row>
    <row r="37" spans="2:2" x14ac:dyDescent="0.3">
      <c r="B37" s="8">
        <v>79.5</v>
      </c>
    </row>
    <row r="38" spans="2:2" x14ac:dyDescent="0.3">
      <c r="B38" s="8">
        <v>80.8</v>
      </c>
    </row>
    <row r="39" spans="2:2" x14ac:dyDescent="0.3">
      <c r="B39" s="8">
        <v>79.599999999999994</v>
      </c>
    </row>
    <row r="40" spans="2:2" x14ac:dyDescent="0.3">
      <c r="B40" s="8">
        <v>88.9</v>
      </c>
    </row>
    <row r="41" spans="2:2" x14ac:dyDescent="0.3">
      <c r="B41" s="8">
        <v>85.9</v>
      </c>
    </row>
    <row r="42" spans="2:2" x14ac:dyDescent="0.3">
      <c r="B42" s="8">
        <v>82.3</v>
      </c>
    </row>
    <row r="43" spans="2:2" x14ac:dyDescent="0.3">
      <c r="B43" s="8">
        <v>76.7</v>
      </c>
    </row>
    <row r="44" spans="2:2" x14ac:dyDescent="0.3">
      <c r="B44" s="8">
        <v>79.900000000000006</v>
      </c>
    </row>
    <row r="45" spans="2:2" x14ac:dyDescent="0.3">
      <c r="B45" s="8">
        <v>86.2</v>
      </c>
    </row>
    <row r="46" spans="2:2" x14ac:dyDescent="0.3">
      <c r="B46" s="8">
        <v>79.2</v>
      </c>
    </row>
    <row r="47" spans="2:2" x14ac:dyDescent="0.3">
      <c r="B47" s="8">
        <v>83.4</v>
      </c>
    </row>
    <row r="48" spans="2:2" x14ac:dyDescent="0.3">
      <c r="B48" s="8">
        <v>85.2</v>
      </c>
    </row>
    <row r="49" spans="2:2" x14ac:dyDescent="0.3">
      <c r="B49" s="8">
        <v>77.8</v>
      </c>
    </row>
    <row r="50" spans="2:2" x14ac:dyDescent="0.3">
      <c r="B50" s="8">
        <v>80.2</v>
      </c>
    </row>
    <row r="51" spans="2:2" x14ac:dyDescent="0.3">
      <c r="B51" s="8">
        <v>71</v>
      </c>
    </row>
    <row r="52" spans="2:2" x14ac:dyDescent="0.3">
      <c r="B52" s="8">
        <v>87.2</v>
      </c>
    </row>
    <row r="53" spans="2:2" x14ac:dyDescent="0.3">
      <c r="B53" s="8">
        <v>82.9</v>
      </c>
    </row>
    <row r="54" spans="2:2" x14ac:dyDescent="0.3">
      <c r="B54" s="8">
        <v>73.5</v>
      </c>
    </row>
    <row r="55" spans="2:2" x14ac:dyDescent="0.3">
      <c r="B55" s="8">
        <v>74.599999999999994</v>
      </c>
    </row>
    <row r="56" spans="2:2" x14ac:dyDescent="0.3">
      <c r="B56" s="8">
        <v>75.099999999999994</v>
      </c>
    </row>
    <row r="57" spans="2:2" x14ac:dyDescent="0.3">
      <c r="B57" s="8">
        <v>85.1</v>
      </c>
    </row>
    <row r="58" spans="2:2" x14ac:dyDescent="0.3">
      <c r="B58" s="8">
        <v>74.900000000000006</v>
      </c>
    </row>
    <row r="59" spans="2:2" x14ac:dyDescent="0.3">
      <c r="B59" s="8">
        <v>84.6</v>
      </c>
    </row>
    <row r="60" spans="2:2" x14ac:dyDescent="0.3">
      <c r="B60" s="8">
        <v>81.7</v>
      </c>
    </row>
    <row r="61" spans="2:2" x14ac:dyDescent="0.3">
      <c r="B61" s="8">
        <v>81.400000000000006</v>
      </c>
    </row>
    <row r="62" spans="2:2" x14ac:dyDescent="0.3">
      <c r="B62" s="8">
        <v>83.8</v>
      </c>
    </row>
    <row r="63" spans="2:2" x14ac:dyDescent="0.3">
      <c r="B63" s="8">
        <v>88.5</v>
      </c>
    </row>
    <row r="64" spans="2:2" x14ac:dyDescent="0.3">
      <c r="B64" s="8">
        <v>84.9</v>
      </c>
    </row>
    <row r="65" spans="2:2" x14ac:dyDescent="0.3">
      <c r="B65" s="8">
        <v>84.3</v>
      </c>
    </row>
    <row r="66" spans="2:2" x14ac:dyDescent="0.3">
      <c r="B66" s="8">
        <v>78.2</v>
      </c>
    </row>
    <row r="67" spans="2:2" x14ac:dyDescent="0.3">
      <c r="B67" s="8">
        <v>80</v>
      </c>
    </row>
    <row r="68" spans="2:2" x14ac:dyDescent="0.3">
      <c r="B68" s="8">
        <v>74.8</v>
      </c>
    </row>
    <row r="69" spans="2:2" x14ac:dyDescent="0.3">
      <c r="B69" s="8">
        <v>78.5</v>
      </c>
    </row>
    <row r="70" spans="2:2" x14ac:dyDescent="0.3">
      <c r="B70" s="8">
        <v>71.8</v>
      </c>
    </row>
    <row r="71" spans="2:2" x14ac:dyDescent="0.3">
      <c r="B71" s="8">
        <v>69.900000000000006</v>
      </c>
    </row>
    <row r="72" spans="2:2" x14ac:dyDescent="0.3">
      <c r="B72" s="8">
        <v>82.7</v>
      </c>
    </row>
    <row r="73" spans="2:2" x14ac:dyDescent="0.3">
      <c r="B73" s="8">
        <v>74</v>
      </c>
    </row>
    <row r="74" spans="2:2" x14ac:dyDescent="0.3">
      <c r="B74" s="8">
        <v>84</v>
      </c>
    </row>
    <row r="75" spans="2:2" x14ac:dyDescent="0.3">
      <c r="B75" s="8">
        <v>84.7</v>
      </c>
    </row>
    <row r="76" spans="2:2" x14ac:dyDescent="0.3">
      <c r="B76" s="8">
        <v>78.2</v>
      </c>
    </row>
    <row r="77" spans="2:2" x14ac:dyDescent="0.3">
      <c r="B77" s="8">
        <v>85</v>
      </c>
    </row>
    <row r="78" spans="2:2" x14ac:dyDescent="0.3">
      <c r="B78" s="8">
        <v>80.099999999999994</v>
      </c>
    </row>
    <row r="79" spans="2:2" x14ac:dyDescent="0.3">
      <c r="B79" s="8">
        <v>85.3</v>
      </c>
    </row>
    <row r="80" spans="2:2" x14ac:dyDescent="0.3">
      <c r="B80" s="8">
        <v>79.7</v>
      </c>
    </row>
    <row r="81" spans="2:2" x14ac:dyDescent="0.3">
      <c r="B81" s="8">
        <v>79.599999999999994</v>
      </c>
    </row>
    <row r="82" spans="2:2" x14ac:dyDescent="0.3">
      <c r="B82" s="8">
        <v>78.900000000000006</v>
      </c>
    </row>
    <row r="83" spans="2:2" x14ac:dyDescent="0.3">
      <c r="B83" s="8">
        <v>78.5</v>
      </c>
    </row>
    <row r="84" spans="2:2" x14ac:dyDescent="0.3">
      <c r="B84" s="8">
        <v>72</v>
      </c>
    </row>
    <row r="85" spans="2:2" x14ac:dyDescent="0.3">
      <c r="B85" s="8">
        <v>74.2</v>
      </c>
    </row>
    <row r="86" spans="2:2" x14ac:dyDescent="0.3">
      <c r="B86" s="8">
        <v>71.7</v>
      </c>
    </row>
    <row r="87" spans="2:2" x14ac:dyDescent="0.3">
      <c r="B87" s="8">
        <v>80.7</v>
      </c>
    </row>
    <row r="88" spans="2:2" x14ac:dyDescent="0.3">
      <c r="B88" s="8">
        <v>84.1</v>
      </c>
    </row>
    <row r="89" spans="2:2" x14ac:dyDescent="0.3">
      <c r="B89" s="8">
        <v>87.4</v>
      </c>
    </row>
    <row r="90" spans="2:2" x14ac:dyDescent="0.3">
      <c r="B90" s="8">
        <v>77.400000000000006</v>
      </c>
    </row>
    <row r="91" spans="2:2" x14ac:dyDescent="0.3">
      <c r="B91" s="8">
        <v>84.7</v>
      </c>
    </row>
    <row r="92" spans="2:2" x14ac:dyDescent="0.3">
      <c r="B92" s="8">
        <v>78.8</v>
      </c>
    </row>
    <row r="93" spans="2:2" x14ac:dyDescent="0.3">
      <c r="B93" s="8">
        <v>92.7</v>
      </c>
    </row>
    <row r="94" spans="2:2" x14ac:dyDescent="0.3">
      <c r="B94" s="8">
        <v>88.8</v>
      </c>
    </row>
    <row r="95" spans="2:2" x14ac:dyDescent="0.3">
      <c r="B95" s="8">
        <v>86.6</v>
      </c>
    </row>
    <row r="96" spans="2:2" x14ac:dyDescent="0.3">
      <c r="B96" s="8">
        <v>77.900000000000006</v>
      </c>
    </row>
    <row r="97" spans="2:2" x14ac:dyDescent="0.3">
      <c r="B97" s="8">
        <v>86.1</v>
      </c>
    </row>
    <row r="98" spans="2:2" x14ac:dyDescent="0.3">
      <c r="B98" s="8">
        <v>89.9</v>
      </c>
    </row>
    <row r="99" spans="2:2" x14ac:dyDescent="0.3">
      <c r="B99" s="8">
        <v>83.1</v>
      </c>
    </row>
    <row r="100" spans="2:2" x14ac:dyDescent="0.3">
      <c r="B100" s="8">
        <v>82.6</v>
      </c>
    </row>
  </sheetData>
  <mergeCells count="1">
    <mergeCell ref="D5:E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DF50B-7E44-4350-986F-24B765A87B1A}">
  <sheetPr codeName="Sheet22">
    <tabColor theme="5" tint="0.59999389629810485"/>
  </sheetPr>
  <dimension ref="B1:H100"/>
  <sheetViews>
    <sheetView showGridLines="0" workbookViewId="0">
      <selection activeCell="H8" sqref="H8"/>
    </sheetView>
  </sheetViews>
  <sheetFormatPr defaultRowHeight="14.4" x14ac:dyDescent="0.3"/>
  <cols>
    <col min="1" max="1" width="2.88671875" customWidth="1"/>
    <col min="2" max="2" width="10.6640625" bestFit="1" customWidth="1"/>
    <col min="4" max="5" width="11.44140625" customWidth="1"/>
    <col min="7" max="7" width="20" customWidth="1"/>
  </cols>
  <sheetData>
    <row r="1" spans="2:8" ht="25.5" customHeight="1" x14ac:dyDescent="0.35">
      <c r="B1" s="17" t="s">
        <v>122</v>
      </c>
    </row>
    <row r="2" spans="2:8" ht="15" customHeight="1" x14ac:dyDescent="0.3">
      <c r="B2" s="28" t="s">
        <v>261</v>
      </c>
    </row>
    <row r="3" spans="2:8" ht="18" customHeight="1" x14ac:dyDescent="0.3"/>
    <row r="4" spans="2:8" x14ac:dyDescent="0.3">
      <c r="D4" s="3"/>
      <c r="G4" s="3"/>
    </row>
    <row r="5" spans="2:8" x14ac:dyDescent="0.3">
      <c r="B5" s="7" t="s">
        <v>69</v>
      </c>
      <c r="D5" s="108" t="s">
        <v>78</v>
      </c>
      <c r="E5" s="108"/>
      <c r="G5" s="108" t="s">
        <v>259</v>
      </c>
      <c r="H5" s="108"/>
    </row>
    <row r="6" spans="2:8" x14ac:dyDescent="0.3">
      <c r="B6" s="8">
        <v>90.2</v>
      </c>
      <c r="D6" s="19" t="s">
        <v>41</v>
      </c>
      <c r="E6" s="69">
        <f>AVERAGE(B6:B100)</f>
        <v>80.169473684210516</v>
      </c>
      <c r="G6" s="19" t="s">
        <v>93</v>
      </c>
      <c r="H6" s="65">
        <v>90</v>
      </c>
    </row>
    <row r="7" spans="2:8" x14ac:dyDescent="0.3">
      <c r="B7" s="8">
        <v>92.8</v>
      </c>
      <c r="D7" s="19" t="s">
        <v>62</v>
      </c>
      <c r="E7" s="69">
        <f>_xlfn.STDEV.S(B6:B100)</f>
        <v>6.1707800411122609</v>
      </c>
      <c r="G7" s="19" t="s">
        <v>94</v>
      </c>
      <c r="H7" s="75">
        <f>1-_xlfn.NORM.DIST(H6,E6,E7,TRUE)</f>
        <v>5.5571485331932569E-2</v>
      </c>
    </row>
    <row r="8" spans="2:8" x14ac:dyDescent="0.3">
      <c r="B8" s="8">
        <v>68.7</v>
      </c>
      <c r="G8" s="19"/>
      <c r="H8" s="26"/>
    </row>
    <row r="9" spans="2:8" x14ac:dyDescent="0.3">
      <c r="B9" s="8">
        <v>80.7</v>
      </c>
    </row>
    <row r="10" spans="2:8" x14ac:dyDescent="0.3">
      <c r="B10" s="8">
        <v>74.900000000000006</v>
      </c>
    </row>
    <row r="11" spans="2:8" x14ac:dyDescent="0.3">
      <c r="B11" s="8">
        <v>80.7</v>
      </c>
    </row>
    <row r="12" spans="2:8" x14ac:dyDescent="0.3">
      <c r="B12" s="8">
        <v>83.3</v>
      </c>
    </row>
    <row r="13" spans="2:8" x14ac:dyDescent="0.3">
      <c r="B13" s="8">
        <v>88.7</v>
      </c>
    </row>
    <row r="14" spans="2:8" x14ac:dyDescent="0.3">
      <c r="B14" s="8">
        <v>75.400000000000006</v>
      </c>
    </row>
    <row r="15" spans="2:8" x14ac:dyDescent="0.3">
      <c r="B15" s="8">
        <v>82.1</v>
      </c>
    </row>
    <row r="16" spans="2:8" x14ac:dyDescent="0.3">
      <c r="B16" s="8">
        <v>87.5</v>
      </c>
    </row>
    <row r="17" spans="2:2" x14ac:dyDescent="0.3">
      <c r="B17" s="8">
        <v>66.900000000000006</v>
      </c>
    </row>
    <row r="18" spans="2:2" x14ac:dyDescent="0.3">
      <c r="B18" s="8">
        <v>71.3</v>
      </c>
    </row>
    <row r="19" spans="2:2" x14ac:dyDescent="0.3">
      <c r="B19" s="8">
        <v>76.8</v>
      </c>
    </row>
    <row r="20" spans="2:2" x14ac:dyDescent="0.3">
      <c r="B20" s="8">
        <v>72.3</v>
      </c>
    </row>
    <row r="21" spans="2:2" x14ac:dyDescent="0.3">
      <c r="B21" s="8">
        <v>72.400000000000006</v>
      </c>
    </row>
    <row r="22" spans="2:2" x14ac:dyDescent="0.3">
      <c r="B22" s="8">
        <v>72</v>
      </c>
    </row>
    <row r="23" spans="2:2" x14ac:dyDescent="0.3">
      <c r="B23" s="8">
        <v>81</v>
      </c>
    </row>
    <row r="24" spans="2:2" x14ac:dyDescent="0.3">
      <c r="B24" s="8">
        <v>96.1</v>
      </c>
    </row>
    <row r="25" spans="2:2" x14ac:dyDescent="0.3">
      <c r="B25" s="8">
        <v>76.7</v>
      </c>
    </row>
    <row r="26" spans="2:2" x14ac:dyDescent="0.3">
      <c r="B26" s="8">
        <v>80.3</v>
      </c>
    </row>
    <row r="27" spans="2:2" x14ac:dyDescent="0.3">
      <c r="B27" s="8">
        <v>77.8</v>
      </c>
    </row>
    <row r="28" spans="2:2" x14ac:dyDescent="0.3">
      <c r="B28" s="8">
        <v>62.6</v>
      </c>
    </row>
    <row r="29" spans="2:2" x14ac:dyDescent="0.3">
      <c r="B29" s="8">
        <v>80.2</v>
      </c>
    </row>
    <row r="30" spans="2:2" x14ac:dyDescent="0.3">
      <c r="B30" s="8">
        <v>79.099999999999994</v>
      </c>
    </row>
    <row r="31" spans="2:2" x14ac:dyDescent="0.3">
      <c r="B31" s="8">
        <v>77.8</v>
      </c>
    </row>
    <row r="32" spans="2:2" x14ac:dyDescent="0.3">
      <c r="B32" s="8">
        <v>75.099999999999994</v>
      </c>
    </row>
    <row r="33" spans="2:2" x14ac:dyDescent="0.3">
      <c r="B33" s="8">
        <v>82.2</v>
      </c>
    </row>
    <row r="34" spans="2:2" x14ac:dyDescent="0.3">
      <c r="B34" s="8">
        <v>70.5</v>
      </c>
    </row>
    <row r="35" spans="2:2" x14ac:dyDescent="0.3">
      <c r="B35" s="8">
        <v>70.8</v>
      </c>
    </row>
    <row r="36" spans="2:2" x14ac:dyDescent="0.3">
      <c r="B36" s="8">
        <v>87.5</v>
      </c>
    </row>
    <row r="37" spans="2:2" x14ac:dyDescent="0.3">
      <c r="B37" s="8">
        <v>79.5</v>
      </c>
    </row>
    <row r="38" spans="2:2" x14ac:dyDescent="0.3">
      <c r="B38" s="8">
        <v>80.8</v>
      </c>
    </row>
    <row r="39" spans="2:2" x14ac:dyDescent="0.3">
      <c r="B39" s="8">
        <v>79.599999999999994</v>
      </c>
    </row>
    <row r="40" spans="2:2" x14ac:dyDescent="0.3">
      <c r="B40" s="8">
        <v>88.9</v>
      </c>
    </row>
    <row r="41" spans="2:2" x14ac:dyDescent="0.3">
      <c r="B41" s="8">
        <v>85.9</v>
      </c>
    </row>
    <row r="42" spans="2:2" x14ac:dyDescent="0.3">
      <c r="B42" s="8">
        <v>82.3</v>
      </c>
    </row>
    <row r="43" spans="2:2" x14ac:dyDescent="0.3">
      <c r="B43" s="8">
        <v>76.7</v>
      </c>
    </row>
    <row r="44" spans="2:2" x14ac:dyDescent="0.3">
      <c r="B44" s="8">
        <v>79.900000000000006</v>
      </c>
    </row>
    <row r="45" spans="2:2" x14ac:dyDescent="0.3">
      <c r="B45" s="8">
        <v>86.2</v>
      </c>
    </row>
    <row r="46" spans="2:2" x14ac:dyDescent="0.3">
      <c r="B46" s="8">
        <v>79.2</v>
      </c>
    </row>
    <row r="47" spans="2:2" x14ac:dyDescent="0.3">
      <c r="B47" s="8">
        <v>83.4</v>
      </c>
    </row>
    <row r="48" spans="2:2" x14ac:dyDescent="0.3">
      <c r="B48" s="8">
        <v>85.2</v>
      </c>
    </row>
    <row r="49" spans="2:2" x14ac:dyDescent="0.3">
      <c r="B49" s="8">
        <v>77.8</v>
      </c>
    </row>
    <row r="50" spans="2:2" x14ac:dyDescent="0.3">
      <c r="B50" s="8">
        <v>80.2</v>
      </c>
    </row>
    <row r="51" spans="2:2" x14ac:dyDescent="0.3">
      <c r="B51" s="8">
        <v>71</v>
      </c>
    </row>
    <row r="52" spans="2:2" x14ac:dyDescent="0.3">
      <c r="B52" s="8">
        <v>87.2</v>
      </c>
    </row>
    <row r="53" spans="2:2" x14ac:dyDescent="0.3">
      <c r="B53" s="8">
        <v>82.9</v>
      </c>
    </row>
    <row r="54" spans="2:2" x14ac:dyDescent="0.3">
      <c r="B54" s="8">
        <v>73.5</v>
      </c>
    </row>
    <row r="55" spans="2:2" x14ac:dyDescent="0.3">
      <c r="B55" s="8">
        <v>74.599999999999994</v>
      </c>
    </row>
    <row r="56" spans="2:2" x14ac:dyDescent="0.3">
      <c r="B56" s="8">
        <v>75.099999999999994</v>
      </c>
    </row>
    <row r="57" spans="2:2" x14ac:dyDescent="0.3">
      <c r="B57" s="8">
        <v>85.1</v>
      </c>
    </row>
    <row r="58" spans="2:2" x14ac:dyDescent="0.3">
      <c r="B58" s="8">
        <v>74.900000000000006</v>
      </c>
    </row>
    <row r="59" spans="2:2" x14ac:dyDescent="0.3">
      <c r="B59" s="8">
        <v>84.6</v>
      </c>
    </row>
    <row r="60" spans="2:2" x14ac:dyDescent="0.3">
      <c r="B60" s="8">
        <v>81.7</v>
      </c>
    </row>
    <row r="61" spans="2:2" x14ac:dyDescent="0.3">
      <c r="B61" s="8">
        <v>81.400000000000006</v>
      </c>
    </row>
    <row r="62" spans="2:2" x14ac:dyDescent="0.3">
      <c r="B62" s="8">
        <v>83.8</v>
      </c>
    </row>
    <row r="63" spans="2:2" x14ac:dyDescent="0.3">
      <c r="B63" s="8">
        <v>88.5</v>
      </c>
    </row>
    <row r="64" spans="2:2" x14ac:dyDescent="0.3">
      <c r="B64" s="8">
        <v>84.9</v>
      </c>
    </row>
    <row r="65" spans="2:2" x14ac:dyDescent="0.3">
      <c r="B65" s="8">
        <v>84.3</v>
      </c>
    </row>
    <row r="66" spans="2:2" x14ac:dyDescent="0.3">
      <c r="B66" s="8">
        <v>78.2</v>
      </c>
    </row>
    <row r="67" spans="2:2" x14ac:dyDescent="0.3">
      <c r="B67" s="8">
        <v>80</v>
      </c>
    </row>
    <row r="68" spans="2:2" x14ac:dyDescent="0.3">
      <c r="B68" s="8">
        <v>74.8</v>
      </c>
    </row>
    <row r="69" spans="2:2" x14ac:dyDescent="0.3">
      <c r="B69" s="8">
        <v>78.5</v>
      </c>
    </row>
    <row r="70" spans="2:2" x14ac:dyDescent="0.3">
      <c r="B70" s="8">
        <v>71.8</v>
      </c>
    </row>
    <row r="71" spans="2:2" x14ac:dyDescent="0.3">
      <c r="B71" s="8">
        <v>69.900000000000006</v>
      </c>
    </row>
    <row r="72" spans="2:2" x14ac:dyDescent="0.3">
      <c r="B72" s="8">
        <v>82.7</v>
      </c>
    </row>
    <row r="73" spans="2:2" x14ac:dyDescent="0.3">
      <c r="B73" s="8">
        <v>74</v>
      </c>
    </row>
    <row r="74" spans="2:2" x14ac:dyDescent="0.3">
      <c r="B74" s="8">
        <v>84</v>
      </c>
    </row>
    <row r="75" spans="2:2" x14ac:dyDescent="0.3">
      <c r="B75" s="8">
        <v>84.7</v>
      </c>
    </row>
    <row r="76" spans="2:2" x14ac:dyDescent="0.3">
      <c r="B76" s="8">
        <v>78.2</v>
      </c>
    </row>
    <row r="77" spans="2:2" x14ac:dyDescent="0.3">
      <c r="B77" s="8">
        <v>85</v>
      </c>
    </row>
    <row r="78" spans="2:2" x14ac:dyDescent="0.3">
      <c r="B78" s="8">
        <v>80.099999999999994</v>
      </c>
    </row>
    <row r="79" spans="2:2" x14ac:dyDescent="0.3">
      <c r="B79" s="8">
        <v>85.3</v>
      </c>
    </row>
    <row r="80" spans="2:2" x14ac:dyDescent="0.3">
      <c r="B80" s="8">
        <v>79.7</v>
      </c>
    </row>
    <row r="81" spans="2:2" x14ac:dyDescent="0.3">
      <c r="B81" s="8">
        <v>79.599999999999994</v>
      </c>
    </row>
    <row r="82" spans="2:2" x14ac:dyDescent="0.3">
      <c r="B82" s="8">
        <v>78.900000000000006</v>
      </c>
    </row>
    <row r="83" spans="2:2" x14ac:dyDescent="0.3">
      <c r="B83" s="8">
        <v>78.5</v>
      </c>
    </row>
    <row r="84" spans="2:2" x14ac:dyDescent="0.3">
      <c r="B84" s="8">
        <v>72</v>
      </c>
    </row>
    <row r="85" spans="2:2" x14ac:dyDescent="0.3">
      <c r="B85" s="8">
        <v>74.2</v>
      </c>
    </row>
    <row r="86" spans="2:2" x14ac:dyDescent="0.3">
      <c r="B86" s="8">
        <v>71.7</v>
      </c>
    </row>
    <row r="87" spans="2:2" x14ac:dyDescent="0.3">
      <c r="B87" s="8">
        <v>80.7</v>
      </c>
    </row>
    <row r="88" spans="2:2" x14ac:dyDescent="0.3">
      <c r="B88" s="8">
        <v>84.1</v>
      </c>
    </row>
    <row r="89" spans="2:2" x14ac:dyDescent="0.3">
      <c r="B89" s="8">
        <v>87.4</v>
      </c>
    </row>
    <row r="90" spans="2:2" x14ac:dyDescent="0.3">
      <c r="B90" s="8">
        <v>77.400000000000006</v>
      </c>
    </row>
    <row r="91" spans="2:2" x14ac:dyDescent="0.3">
      <c r="B91" s="8">
        <v>84.7</v>
      </c>
    </row>
    <row r="92" spans="2:2" x14ac:dyDescent="0.3">
      <c r="B92" s="8">
        <v>78.8</v>
      </c>
    </row>
    <row r="93" spans="2:2" x14ac:dyDescent="0.3">
      <c r="B93" s="8">
        <v>92.7</v>
      </c>
    </row>
    <row r="94" spans="2:2" x14ac:dyDescent="0.3">
      <c r="B94" s="8">
        <v>88.8</v>
      </c>
    </row>
    <row r="95" spans="2:2" x14ac:dyDescent="0.3">
      <c r="B95" s="8">
        <v>86.6</v>
      </c>
    </row>
    <row r="96" spans="2:2" x14ac:dyDescent="0.3">
      <c r="B96" s="8">
        <v>77.900000000000006</v>
      </c>
    </row>
    <row r="97" spans="2:2" x14ac:dyDescent="0.3">
      <c r="B97" s="8">
        <v>86.1</v>
      </c>
    </row>
    <row r="98" spans="2:2" x14ac:dyDescent="0.3">
      <c r="B98" s="8">
        <v>89.9</v>
      </c>
    </row>
    <row r="99" spans="2:2" x14ac:dyDescent="0.3">
      <c r="B99" s="8">
        <v>83.1</v>
      </c>
    </row>
    <row r="100" spans="2:2" x14ac:dyDescent="0.3">
      <c r="B100" s="8">
        <v>82.6</v>
      </c>
    </row>
  </sheetData>
  <mergeCells count="2">
    <mergeCell ref="D5:E5"/>
    <mergeCell ref="G5:H5"/>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BCC42-B190-4959-AD45-E5CCB67A793D}">
  <sheetPr codeName="Sheet23">
    <tabColor theme="5" tint="0.79998168889431442"/>
  </sheetPr>
  <dimension ref="B1:I100"/>
  <sheetViews>
    <sheetView showGridLines="0" workbookViewId="0">
      <selection activeCell="O20" sqref="O20"/>
    </sheetView>
  </sheetViews>
  <sheetFormatPr defaultRowHeight="14.4" x14ac:dyDescent="0.3"/>
  <cols>
    <col min="1" max="1" width="2.88671875" customWidth="1"/>
    <col min="2" max="2" width="10.6640625" bestFit="1" customWidth="1"/>
    <col min="4" max="5" width="11.44140625" customWidth="1"/>
    <col min="8" max="8" width="18.109375" bestFit="1" customWidth="1"/>
    <col min="9" max="9" width="21.6640625" bestFit="1" customWidth="1"/>
  </cols>
  <sheetData>
    <row r="1" spans="2:9" ht="25.5" customHeight="1" x14ac:dyDescent="0.35">
      <c r="B1" s="17" t="s">
        <v>123</v>
      </c>
    </row>
    <row r="2" spans="2:9" ht="15" customHeight="1" x14ac:dyDescent="0.3">
      <c r="B2" s="27" t="s">
        <v>263</v>
      </c>
    </row>
    <row r="3" spans="2:9" ht="18" customHeight="1" x14ac:dyDescent="0.3"/>
    <row r="4" spans="2:9" x14ac:dyDescent="0.3">
      <c r="D4" s="3"/>
      <c r="G4" s="3"/>
    </row>
    <row r="5" spans="2:9" x14ac:dyDescent="0.3">
      <c r="B5" s="7" t="s">
        <v>69</v>
      </c>
      <c r="D5" s="108" t="s">
        <v>78</v>
      </c>
      <c r="E5" s="108"/>
      <c r="G5" s="10" t="s">
        <v>90</v>
      </c>
      <c r="H5" s="10" t="s">
        <v>91</v>
      </c>
      <c r="I5" s="10" t="s">
        <v>95</v>
      </c>
    </row>
    <row r="6" spans="2:9" x14ac:dyDescent="0.3">
      <c r="B6" s="8">
        <v>90.2</v>
      </c>
      <c r="D6" s="19" t="s">
        <v>41</v>
      </c>
      <c r="E6" s="69">
        <f>AVERAGE(B6:B100)</f>
        <v>80.169473684210516</v>
      </c>
      <c r="G6" s="8">
        <v>60</v>
      </c>
      <c r="H6" s="8">
        <f>_xlfn.NORM.DIST(G6,$E$6,$E$7,FALSE)</f>
        <v>3.0952931395656784E-4</v>
      </c>
      <c r="I6" s="8">
        <f>IF(G6&lt;=74,H6,0)</f>
        <v>3.0952931395656784E-4</v>
      </c>
    </row>
    <row r="7" spans="2:9" x14ac:dyDescent="0.3">
      <c r="B7" s="8">
        <v>92.8</v>
      </c>
      <c r="D7" s="19" t="s">
        <v>62</v>
      </c>
      <c r="E7" s="69">
        <f>_xlfn.STDEV.S(B6:B100)</f>
        <v>6.1707800411122609</v>
      </c>
      <c r="G7" s="8">
        <v>62</v>
      </c>
      <c r="H7" s="8">
        <f t="shared" ref="H7:H26" si="0">_xlfn.NORM.DIST(G7,$E$6,$E$7,FALSE)</f>
        <v>8.4716192775783749E-4</v>
      </c>
      <c r="I7" s="8">
        <f t="shared" ref="I7:I26" si="1">IF(G7&lt;=74,H7,0)</f>
        <v>8.4716192775783749E-4</v>
      </c>
    </row>
    <row r="8" spans="2:9" x14ac:dyDescent="0.3">
      <c r="B8" s="8">
        <v>68.7</v>
      </c>
      <c r="G8" s="8">
        <v>64</v>
      </c>
      <c r="H8" s="8">
        <f t="shared" si="0"/>
        <v>2.087421445520822E-3</v>
      </c>
      <c r="I8" s="8">
        <f t="shared" si="1"/>
        <v>2.087421445520822E-3</v>
      </c>
    </row>
    <row r="9" spans="2:9" x14ac:dyDescent="0.3">
      <c r="B9" s="8">
        <v>80.7</v>
      </c>
      <c r="G9" s="8">
        <v>66</v>
      </c>
      <c r="H9" s="8">
        <f t="shared" si="0"/>
        <v>4.6305536271465499E-3</v>
      </c>
      <c r="I9" s="8">
        <f t="shared" si="1"/>
        <v>4.6305536271465499E-3</v>
      </c>
    </row>
    <row r="10" spans="2:9" x14ac:dyDescent="0.3">
      <c r="B10" s="8">
        <v>74.900000000000006</v>
      </c>
      <c r="G10" s="8">
        <v>68</v>
      </c>
      <c r="H10" s="8">
        <f t="shared" si="0"/>
        <v>9.2477219127595003E-3</v>
      </c>
      <c r="I10" s="8">
        <f t="shared" si="1"/>
        <v>9.2477219127595003E-3</v>
      </c>
    </row>
    <row r="11" spans="2:9" x14ac:dyDescent="0.3">
      <c r="B11" s="8">
        <v>80.7</v>
      </c>
      <c r="G11" s="8">
        <v>70</v>
      </c>
      <c r="H11" s="8">
        <f t="shared" si="0"/>
        <v>1.6627067938365887E-2</v>
      </c>
      <c r="I11" s="8">
        <f t="shared" si="1"/>
        <v>1.6627067938365887E-2</v>
      </c>
    </row>
    <row r="12" spans="2:9" x14ac:dyDescent="0.3">
      <c r="B12" s="8">
        <v>83.3</v>
      </c>
      <c r="G12" s="8">
        <v>72</v>
      </c>
      <c r="H12" s="8">
        <f t="shared" si="0"/>
        <v>2.6913838820218548E-2</v>
      </c>
      <c r="I12" s="8">
        <f t="shared" si="1"/>
        <v>2.6913838820218548E-2</v>
      </c>
    </row>
    <row r="13" spans="2:9" x14ac:dyDescent="0.3">
      <c r="B13" s="8">
        <v>88.7</v>
      </c>
      <c r="G13" s="8">
        <v>74</v>
      </c>
      <c r="H13" s="8">
        <f t="shared" si="0"/>
        <v>3.922064118584874E-2</v>
      </c>
      <c r="I13" s="8">
        <f t="shared" si="1"/>
        <v>3.922064118584874E-2</v>
      </c>
    </row>
    <row r="14" spans="2:9" x14ac:dyDescent="0.3">
      <c r="B14" s="8">
        <v>75.400000000000006</v>
      </c>
      <c r="G14" s="8">
        <v>76</v>
      </c>
      <c r="H14" s="8">
        <f t="shared" si="0"/>
        <v>5.1455617885659118E-2</v>
      </c>
      <c r="I14" s="8">
        <f t="shared" si="1"/>
        <v>0</v>
      </c>
    </row>
    <row r="15" spans="2:9" x14ac:dyDescent="0.3">
      <c r="B15" s="8">
        <v>82.1</v>
      </c>
      <c r="G15" s="8">
        <v>78</v>
      </c>
      <c r="H15" s="8">
        <f t="shared" si="0"/>
        <v>6.0775700353358199E-2</v>
      </c>
      <c r="I15" s="8">
        <f t="shared" si="1"/>
        <v>0</v>
      </c>
    </row>
    <row r="16" spans="2:9" x14ac:dyDescent="0.3">
      <c r="B16" s="8">
        <v>87.5</v>
      </c>
      <c r="G16" s="8">
        <v>80</v>
      </c>
      <c r="H16" s="8">
        <f t="shared" si="0"/>
        <v>6.4625841766344283E-2</v>
      </c>
      <c r="I16" s="8">
        <f t="shared" si="1"/>
        <v>0</v>
      </c>
    </row>
    <row r="17" spans="2:9" x14ac:dyDescent="0.3">
      <c r="B17" s="8">
        <v>66.900000000000006</v>
      </c>
      <c r="G17" s="8">
        <v>82</v>
      </c>
      <c r="H17" s="8">
        <f t="shared" si="0"/>
        <v>6.186735083523575E-2</v>
      </c>
      <c r="I17" s="8">
        <f t="shared" si="1"/>
        <v>0</v>
      </c>
    </row>
    <row r="18" spans="2:9" x14ac:dyDescent="0.3">
      <c r="B18" s="8">
        <v>71.3</v>
      </c>
      <c r="G18" s="8">
        <v>84</v>
      </c>
      <c r="H18" s="8">
        <f t="shared" si="0"/>
        <v>5.332070624163418E-2</v>
      </c>
      <c r="I18" s="8">
        <f t="shared" si="1"/>
        <v>0</v>
      </c>
    </row>
    <row r="19" spans="2:9" x14ac:dyDescent="0.3">
      <c r="B19" s="8">
        <v>76.8</v>
      </c>
      <c r="G19" s="8">
        <v>86</v>
      </c>
      <c r="H19" s="8">
        <f t="shared" si="0"/>
        <v>4.137226830550346E-2</v>
      </c>
      <c r="I19" s="8">
        <f t="shared" si="1"/>
        <v>0</v>
      </c>
    </row>
    <row r="20" spans="2:9" x14ac:dyDescent="0.3">
      <c r="B20" s="8">
        <v>72.3</v>
      </c>
      <c r="G20" s="8">
        <v>88</v>
      </c>
      <c r="H20" s="8">
        <f t="shared" si="0"/>
        <v>2.8900265870792894E-2</v>
      </c>
      <c r="I20" s="8">
        <f t="shared" si="1"/>
        <v>0</v>
      </c>
    </row>
    <row r="21" spans="2:9" x14ac:dyDescent="0.3">
      <c r="B21" s="8">
        <v>72.400000000000006</v>
      </c>
      <c r="G21" s="8">
        <v>90</v>
      </c>
      <c r="H21" s="8">
        <f t="shared" si="0"/>
        <v>1.817495774949713E-2</v>
      </c>
      <c r="I21" s="8">
        <f t="shared" si="1"/>
        <v>0</v>
      </c>
    </row>
    <row r="22" spans="2:9" x14ac:dyDescent="0.3">
      <c r="B22" s="8">
        <v>72</v>
      </c>
      <c r="G22" s="8">
        <v>92</v>
      </c>
      <c r="H22" s="8">
        <f t="shared" si="0"/>
        <v>1.0290205502344866E-2</v>
      </c>
      <c r="I22" s="8">
        <f t="shared" si="1"/>
        <v>0</v>
      </c>
    </row>
    <row r="23" spans="2:9" x14ac:dyDescent="0.3">
      <c r="B23" s="8">
        <v>81</v>
      </c>
      <c r="G23" s="8">
        <v>94</v>
      </c>
      <c r="H23" s="8">
        <f t="shared" si="0"/>
        <v>5.2450997543787847E-3</v>
      </c>
      <c r="I23" s="8">
        <f t="shared" si="1"/>
        <v>0</v>
      </c>
    </row>
    <row r="24" spans="2:9" x14ac:dyDescent="0.3">
      <c r="B24" s="8">
        <v>96.1</v>
      </c>
      <c r="G24" s="8">
        <v>96</v>
      </c>
      <c r="H24" s="8">
        <f t="shared" si="0"/>
        <v>2.4069248056546818E-3</v>
      </c>
      <c r="I24" s="8">
        <f t="shared" si="1"/>
        <v>0</v>
      </c>
    </row>
    <row r="25" spans="2:9" x14ac:dyDescent="0.3">
      <c r="B25" s="8">
        <v>76.7</v>
      </c>
      <c r="G25" s="8">
        <v>98</v>
      </c>
      <c r="H25" s="8">
        <f t="shared" si="0"/>
        <v>9.9437537201741604E-4</v>
      </c>
      <c r="I25" s="8">
        <f t="shared" si="1"/>
        <v>0</v>
      </c>
    </row>
    <row r="26" spans="2:9" x14ac:dyDescent="0.3">
      <c r="B26" s="8">
        <v>80.3</v>
      </c>
      <c r="G26" s="8">
        <v>100</v>
      </c>
      <c r="H26" s="8">
        <f t="shared" si="0"/>
        <v>3.6984288004996362E-4</v>
      </c>
      <c r="I26" s="8">
        <f t="shared" si="1"/>
        <v>0</v>
      </c>
    </row>
    <row r="27" spans="2:9" x14ac:dyDescent="0.3">
      <c r="B27" s="8">
        <v>77.8</v>
      </c>
    </row>
    <row r="28" spans="2:9" x14ac:dyDescent="0.3">
      <c r="B28" s="8">
        <v>62.6</v>
      </c>
    </row>
    <row r="29" spans="2:9" x14ac:dyDescent="0.3">
      <c r="B29" s="8">
        <v>80.2</v>
      </c>
    </row>
    <row r="30" spans="2:9" x14ac:dyDescent="0.3">
      <c r="B30" s="8">
        <v>79.099999999999994</v>
      </c>
    </row>
    <row r="31" spans="2:9" x14ac:dyDescent="0.3">
      <c r="B31" s="8">
        <v>77.8</v>
      </c>
    </row>
    <row r="32" spans="2:9" x14ac:dyDescent="0.3">
      <c r="B32" s="8">
        <v>75.099999999999994</v>
      </c>
    </row>
    <row r="33" spans="2:2" x14ac:dyDescent="0.3">
      <c r="B33" s="8">
        <v>82.2</v>
      </c>
    </row>
    <row r="34" spans="2:2" x14ac:dyDescent="0.3">
      <c r="B34" s="8">
        <v>70.5</v>
      </c>
    </row>
    <row r="35" spans="2:2" x14ac:dyDescent="0.3">
      <c r="B35" s="8">
        <v>70.8</v>
      </c>
    </row>
    <row r="36" spans="2:2" x14ac:dyDescent="0.3">
      <c r="B36" s="8">
        <v>87.5</v>
      </c>
    </row>
    <row r="37" spans="2:2" x14ac:dyDescent="0.3">
      <c r="B37" s="8">
        <v>79.5</v>
      </c>
    </row>
    <row r="38" spans="2:2" x14ac:dyDescent="0.3">
      <c r="B38" s="8">
        <v>80.8</v>
      </c>
    </row>
    <row r="39" spans="2:2" x14ac:dyDescent="0.3">
      <c r="B39" s="8">
        <v>79.599999999999994</v>
      </c>
    </row>
    <row r="40" spans="2:2" x14ac:dyDescent="0.3">
      <c r="B40" s="8">
        <v>88.9</v>
      </c>
    </row>
    <row r="41" spans="2:2" x14ac:dyDescent="0.3">
      <c r="B41" s="8">
        <v>85.9</v>
      </c>
    </row>
    <row r="42" spans="2:2" x14ac:dyDescent="0.3">
      <c r="B42" s="8">
        <v>82.3</v>
      </c>
    </row>
    <row r="43" spans="2:2" x14ac:dyDescent="0.3">
      <c r="B43" s="8">
        <v>76.7</v>
      </c>
    </row>
    <row r="44" spans="2:2" x14ac:dyDescent="0.3">
      <c r="B44" s="8">
        <v>79.900000000000006</v>
      </c>
    </row>
    <row r="45" spans="2:2" x14ac:dyDescent="0.3">
      <c r="B45" s="8">
        <v>86.2</v>
      </c>
    </row>
    <row r="46" spans="2:2" x14ac:dyDescent="0.3">
      <c r="B46" s="8">
        <v>79.2</v>
      </c>
    </row>
    <row r="47" spans="2:2" x14ac:dyDescent="0.3">
      <c r="B47" s="8">
        <v>83.4</v>
      </c>
    </row>
    <row r="48" spans="2:2" x14ac:dyDescent="0.3">
      <c r="B48" s="8">
        <v>85.2</v>
      </c>
    </row>
    <row r="49" spans="2:2" x14ac:dyDescent="0.3">
      <c r="B49" s="8">
        <v>77.8</v>
      </c>
    </row>
    <row r="50" spans="2:2" x14ac:dyDescent="0.3">
      <c r="B50" s="8">
        <v>80.2</v>
      </c>
    </row>
    <row r="51" spans="2:2" x14ac:dyDescent="0.3">
      <c r="B51" s="8">
        <v>71</v>
      </c>
    </row>
    <row r="52" spans="2:2" x14ac:dyDescent="0.3">
      <c r="B52" s="8">
        <v>87.2</v>
      </c>
    </row>
    <row r="53" spans="2:2" x14ac:dyDescent="0.3">
      <c r="B53" s="8">
        <v>82.9</v>
      </c>
    </row>
    <row r="54" spans="2:2" x14ac:dyDescent="0.3">
      <c r="B54" s="8">
        <v>73.5</v>
      </c>
    </row>
    <row r="55" spans="2:2" x14ac:dyDescent="0.3">
      <c r="B55" s="8">
        <v>74.599999999999994</v>
      </c>
    </row>
    <row r="56" spans="2:2" x14ac:dyDescent="0.3">
      <c r="B56" s="8">
        <v>75.099999999999994</v>
      </c>
    </row>
    <row r="57" spans="2:2" x14ac:dyDescent="0.3">
      <c r="B57" s="8">
        <v>85.1</v>
      </c>
    </row>
    <row r="58" spans="2:2" x14ac:dyDescent="0.3">
      <c r="B58" s="8">
        <v>74.900000000000006</v>
      </c>
    </row>
    <row r="59" spans="2:2" x14ac:dyDescent="0.3">
      <c r="B59" s="8">
        <v>84.6</v>
      </c>
    </row>
    <row r="60" spans="2:2" x14ac:dyDescent="0.3">
      <c r="B60" s="8">
        <v>81.7</v>
      </c>
    </row>
    <row r="61" spans="2:2" x14ac:dyDescent="0.3">
      <c r="B61" s="8">
        <v>81.400000000000006</v>
      </c>
    </row>
    <row r="62" spans="2:2" x14ac:dyDescent="0.3">
      <c r="B62" s="8">
        <v>83.8</v>
      </c>
    </row>
    <row r="63" spans="2:2" x14ac:dyDescent="0.3">
      <c r="B63" s="8">
        <v>88.5</v>
      </c>
    </row>
    <row r="64" spans="2:2" x14ac:dyDescent="0.3">
      <c r="B64" s="8">
        <v>84.9</v>
      </c>
    </row>
    <row r="65" spans="2:2" x14ac:dyDescent="0.3">
      <c r="B65" s="8">
        <v>84.3</v>
      </c>
    </row>
    <row r="66" spans="2:2" x14ac:dyDescent="0.3">
      <c r="B66" s="8">
        <v>78.2</v>
      </c>
    </row>
    <row r="67" spans="2:2" x14ac:dyDescent="0.3">
      <c r="B67" s="8">
        <v>80</v>
      </c>
    </row>
    <row r="68" spans="2:2" x14ac:dyDescent="0.3">
      <c r="B68" s="8">
        <v>74.8</v>
      </c>
    </row>
    <row r="69" spans="2:2" x14ac:dyDescent="0.3">
      <c r="B69" s="8">
        <v>78.5</v>
      </c>
    </row>
    <row r="70" spans="2:2" x14ac:dyDescent="0.3">
      <c r="B70" s="8">
        <v>71.8</v>
      </c>
    </row>
    <row r="71" spans="2:2" x14ac:dyDescent="0.3">
      <c r="B71" s="8">
        <v>69.900000000000006</v>
      </c>
    </row>
    <row r="72" spans="2:2" x14ac:dyDescent="0.3">
      <c r="B72" s="8">
        <v>82.7</v>
      </c>
    </row>
    <row r="73" spans="2:2" x14ac:dyDescent="0.3">
      <c r="B73" s="8">
        <v>74</v>
      </c>
    </row>
    <row r="74" spans="2:2" x14ac:dyDescent="0.3">
      <c r="B74" s="8">
        <v>84</v>
      </c>
    </row>
    <row r="75" spans="2:2" x14ac:dyDescent="0.3">
      <c r="B75" s="8">
        <v>84.7</v>
      </c>
    </row>
    <row r="76" spans="2:2" x14ac:dyDescent="0.3">
      <c r="B76" s="8">
        <v>78.2</v>
      </c>
    </row>
    <row r="77" spans="2:2" x14ac:dyDescent="0.3">
      <c r="B77" s="8">
        <v>85</v>
      </c>
    </row>
    <row r="78" spans="2:2" x14ac:dyDescent="0.3">
      <c r="B78" s="8">
        <v>80.099999999999994</v>
      </c>
    </row>
    <row r="79" spans="2:2" x14ac:dyDescent="0.3">
      <c r="B79" s="8">
        <v>85.3</v>
      </c>
    </row>
    <row r="80" spans="2:2" x14ac:dyDescent="0.3">
      <c r="B80" s="8">
        <v>79.7</v>
      </c>
    </row>
    <row r="81" spans="2:2" x14ac:dyDescent="0.3">
      <c r="B81" s="8">
        <v>79.599999999999994</v>
      </c>
    </row>
    <row r="82" spans="2:2" x14ac:dyDescent="0.3">
      <c r="B82" s="8">
        <v>78.900000000000006</v>
      </c>
    </row>
    <row r="83" spans="2:2" x14ac:dyDescent="0.3">
      <c r="B83" s="8">
        <v>78.5</v>
      </c>
    </row>
    <row r="84" spans="2:2" x14ac:dyDescent="0.3">
      <c r="B84" s="8">
        <v>72</v>
      </c>
    </row>
    <row r="85" spans="2:2" x14ac:dyDescent="0.3">
      <c r="B85" s="8">
        <v>74.2</v>
      </c>
    </row>
    <row r="86" spans="2:2" x14ac:dyDescent="0.3">
      <c r="B86" s="8">
        <v>71.7</v>
      </c>
    </row>
    <row r="87" spans="2:2" x14ac:dyDescent="0.3">
      <c r="B87" s="8">
        <v>80.7</v>
      </c>
    </row>
    <row r="88" spans="2:2" x14ac:dyDescent="0.3">
      <c r="B88" s="8">
        <v>84.1</v>
      </c>
    </row>
    <row r="89" spans="2:2" x14ac:dyDescent="0.3">
      <c r="B89" s="8">
        <v>87.4</v>
      </c>
    </row>
    <row r="90" spans="2:2" x14ac:dyDescent="0.3">
      <c r="B90" s="8">
        <v>77.400000000000006</v>
      </c>
    </row>
    <row r="91" spans="2:2" x14ac:dyDescent="0.3">
      <c r="B91" s="8">
        <v>84.7</v>
      </c>
    </row>
    <row r="92" spans="2:2" x14ac:dyDescent="0.3">
      <c r="B92" s="8">
        <v>78.8</v>
      </c>
    </row>
    <row r="93" spans="2:2" x14ac:dyDescent="0.3">
      <c r="B93" s="8">
        <v>92.7</v>
      </c>
    </row>
    <row r="94" spans="2:2" x14ac:dyDescent="0.3">
      <c r="B94" s="8">
        <v>88.8</v>
      </c>
    </row>
    <row r="95" spans="2:2" x14ac:dyDescent="0.3">
      <c r="B95" s="8">
        <v>86.6</v>
      </c>
    </row>
    <row r="96" spans="2:2" x14ac:dyDescent="0.3">
      <c r="B96" s="8">
        <v>77.900000000000006</v>
      </c>
    </row>
    <row r="97" spans="2:2" x14ac:dyDescent="0.3">
      <c r="B97" s="8">
        <v>86.1</v>
      </c>
    </row>
    <row r="98" spans="2:2" x14ac:dyDescent="0.3">
      <c r="B98" s="8">
        <v>89.9</v>
      </c>
    </row>
    <row r="99" spans="2:2" x14ac:dyDescent="0.3">
      <c r="B99" s="8">
        <v>83.1</v>
      </c>
    </row>
    <row r="100" spans="2:2" x14ac:dyDescent="0.3">
      <c r="B100" s="8">
        <v>82.6</v>
      </c>
    </row>
  </sheetData>
  <mergeCells count="1">
    <mergeCell ref="D5:E5"/>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711A9-692D-463F-AAA9-D3D5CF47B87B}">
  <sheetPr codeName="Sheet24">
    <tabColor theme="5" tint="0.79998168889431442"/>
  </sheetPr>
  <dimension ref="B1:H100"/>
  <sheetViews>
    <sheetView showGridLines="0" workbookViewId="0">
      <selection activeCell="G15" sqref="G15"/>
    </sheetView>
  </sheetViews>
  <sheetFormatPr defaultRowHeight="14.4" x14ac:dyDescent="0.3"/>
  <cols>
    <col min="1" max="1" width="2.88671875" customWidth="1"/>
    <col min="2" max="2" width="10.6640625" bestFit="1" customWidth="1"/>
    <col min="4" max="5" width="11.44140625" customWidth="1"/>
    <col min="7" max="7" width="20" customWidth="1"/>
  </cols>
  <sheetData>
    <row r="1" spans="2:8" ht="25.5" customHeight="1" x14ac:dyDescent="0.35">
      <c r="B1" s="17" t="s">
        <v>124</v>
      </c>
    </row>
    <row r="2" spans="2:8" ht="15" customHeight="1" x14ac:dyDescent="0.3">
      <c r="B2" s="27" t="s">
        <v>265</v>
      </c>
    </row>
    <row r="3" spans="2:8" ht="18" customHeight="1" x14ac:dyDescent="0.3"/>
    <row r="4" spans="2:8" x14ac:dyDescent="0.3">
      <c r="D4" s="3"/>
      <c r="G4" s="3"/>
    </row>
    <row r="5" spans="2:8" x14ac:dyDescent="0.3">
      <c r="B5" s="7" t="s">
        <v>69</v>
      </c>
      <c r="D5" s="108" t="s">
        <v>78</v>
      </c>
      <c r="E5" s="108"/>
      <c r="G5" s="108" t="s">
        <v>264</v>
      </c>
      <c r="H5" s="108"/>
    </row>
    <row r="6" spans="2:8" x14ac:dyDescent="0.3">
      <c r="B6" s="8">
        <v>90.2</v>
      </c>
      <c r="D6" s="19" t="s">
        <v>41</v>
      </c>
      <c r="E6" s="69">
        <f>AVERAGE(B6:B100)</f>
        <v>80.169473684210516</v>
      </c>
      <c r="G6" s="19" t="s">
        <v>101</v>
      </c>
      <c r="H6" s="76">
        <v>0.25</v>
      </c>
    </row>
    <row r="7" spans="2:8" x14ac:dyDescent="0.3">
      <c r="B7" s="8">
        <v>92.8</v>
      </c>
      <c r="D7" s="19" t="s">
        <v>62</v>
      </c>
      <c r="E7" s="69">
        <f>_xlfn.STDEV.S(B6:B100)</f>
        <v>6.1707800411122609</v>
      </c>
      <c r="G7" s="19" t="s">
        <v>102</v>
      </c>
      <c r="H7" s="76">
        <v>0.75</v>
      </c>
    </row>
    <row r="8" spans="2:8" x14ac:dyDescent="0.3">
      <c r="B8" s="8">
        <v>68.7</v>
      </c>
      <c r="G8" s="19" t="s">
        <v>104</v>
      </c>
      <c r="H8" s="77">
        <f>_xlfn.NORM.INV(H6,$E$6,$E$7)</f>
        <v>76.007345795765744</v>
      </c>
    </row>
    <row r="9" spans="2:8" x14ac:dyDescent="0.3">
      <c r="B9" s="8">
        <v>80.7</v>
      </c>
      <c r="D9" s="19"/>
      <c r="E9" s="26"/>
      <c r="G9" s="19" t="s">
        <v>103</v>
      </c>
      <c r="H9" s="77">
        <f>_xlfn.NORM.INV(H7,$E$6,$E$7)</f>
        <v>84.331601572655288</v>
      </c>
    </row>
    <row r="10" spans="2:8" x14ac:dyDescent="0.3">
      <c r="B10" s="8">
        <v>74.900000000000006</v>
      </c>
      <c r="D10" s="19"/>
      <c r="E10" s="26"/>
    </row>
    <row r="11" spans="2:8" x14ac:dyDescent="0.3">
      <c r="B11" s="8">
        <v>80.7</v>
      </c>
    </row>
    <row r="12" spans="2:8" x14ac:dyDescent="0.3">
      <c r="B12" s="8">
        <v>83.3</v>
      </c>
    </row>
    <row r="13" spans="2:8" x14ac:dyDescent="0.3">
      <c r="B13" s="8">
        <v>88.7</v>
      </c>
    </row>
    <row r="14" spans="2:8" x14ac:dyDescent="0.3">
      <c r="B14" s="8">
        <v>75.400000000000006</v>
      </c>
    </row>
    <row r="15" spans="2:8" x14ac:dyDescent="0.3">
      <c r="B15" s="8">
        <v>82.1</v>
      </c>
    </row>
    <row r="16" spans="2:8" x14ac:dyDescent="0.3">
      <c r="B16" s="8">
        <v>87.5</v>
      </c>
    </row>
    <row r="17" spans="2:2" x14ac:dyDescent="0.3">
      <c r="B17" s="8">
        <v>66.900000000000006</v>
      </c>
    </row>
    <row r="18" spans="2:2" x14ac:dyDescent="0.3">
      <c r="B18" s="8">
        <v>71.3</v>
      </c>
    </row>
    <row r="19" spans="2:2" x14ac:dyDescent="0.3">
      <c r="B19" s="8">
        <v>76.8</v>
      </c>
    </row>
    <row r="20" spans="2:2" x14ac:dyDescent="0.3">
      <c r="B20" s="8">
        <v>72.3</v>
      </c>
    </row>
    <row r="21" spans="2:2" x14ac:dyDescent="0.3">
      <c r="B21" s="8">
        <v>72.400000000000006</v>
      </c>
    </row>
    <row r="22" spans="2:2" x14ac:dyDescent="0.3">
      <c r="B22" s="8">
        <v>72</v>
      </c>
    </row>
    <row r="23" spans="2:2" x14ac:dyDescent="0.3">
      <c r="B23" s="8">
        <v>81</v>
      </c>
    </row>
    <row r="24" spans="2:2" x14ac:dyDescent="0.3">
      <c r="B24" s="8">
        <v>96.1</v>
      </c>
    </row>
    <row r="25" spans="2:2" x14ac:dyDescent="0.3">
      <c r="B25" s="8">
        <v>76.7</v>
      </c>
    </row>
    <row r="26" spans="2:2" x14ac:dyDescent="0.3">
      <c r="B26" s="8">
        <v>80.3</v>
      </c>
    </row>
    <row r="27" spans="2:2" x14ac:dyDescent="0.3">
      <c r="B27" s="8">
        <v>77.8</v>
      </c>
    </row>
    <row r="28" spans="2:2" x14ac:dyDescent="0.3">
      <c r="B28" s="8">
        <v>62.6</v>
      </c>
    </row>
    <row r="29" spans="2:2" x14ac:dyDescent="0.3">
      <c r="B29" s="8">
        <v>80.2</v>
      </c>
    </row>
    <row r="30" spans="2:2" x14ac:dyDescent="0.3">
      <c r="B30" s="8">
        <v>79.099999999999994</v>
      </c>
    </row>
    <row r="31" spans="2:2" x14ac:dyDescent="0.3">
      <c r="B31" s="8">
        <v>77.8</v>
      </c>
    </row>
    <row r="32" spans="2:2" x14ac:dyDescent="0.3">
      <c r="B32" s="8">
        <v>75.099999999999994</v>
      </c>
    </row>
    <row r="33" spans="2:2" x14ac:dyDescent="0.3">
      <c r="B33" s="8">
        <v>82.2</v>
      </c>
    </row>
    <row r="34" spans="2:2" x14ac:dyDescent="0.3">
      <c r="B34" s="8">
        <v>70.5</v>
      </c>
    </row>
    <row r="35" spans="2:2" x14ac:dyDescent="0.3">
      <c r="B35" s="8">
        <v>70.8</v>
      </c>
    </row>
    <row r="36" spans="2:2" x14ac:dyDescent="0.3">
      <c r="B36" s="8">
        <v>87.5</v>
      </c>
    </row>
    <row r="37" spans="2:2" x14ac:dyDescent="0.3">
      <c r="B37" s="8">
        <v>79.5</v>
      </c>
    </row>
    <row r="38" spans="2:2" x14ac:dyDescent="0.3">
      <c r="B38" s="8">
        <v>80.8</v>
      </c>
    </row>
    <row r="39" spans="2:2" x14ac:dyDescent="0.3">
      <c r="B39" s="8">
        <v>79.599999999999994</v>
      </c>
    </row>
    <row r="40" spans="2:2" x14ac:dyDescent="0.3">
      <c r="B40" s="8">
        <v>88.9</v>
      </c>
    </row>
    <row r="41" spans="2:2" x14ac:dyDescent="0.3">
      <c r="B41" s="8">
        <v>85.9</v>
      </c>
    </row>
    <row r="42" spans="2:2" x14ac:dyDescent="0.3">
      <c r="B42" s="8">
        <v>82.3</v>
      </c>
    </row>
    <row r="43" spans="2:2" x14ac:dyDescent="0.3">
      <c r="B43" s="8">
        <v>76.7</v>
      </c>
    </row>
    <row r="44" spans="2:2" x14ac:dyDescent="0.3">
      <c r="B44" s="8">
        <v>79.900000000000006</v>
      </c>
    </row>
    <row r="45" spans="2:2" x14ac:dyDescent="0.3">
      <c r="B45" s="8">
        <v>86.2</v>
      </c>
    </row>
    <row r="46" spans="2:2" x14ac:dyDescent="0.3">
      <c r="B46" s="8">
        <v>79.2</v>
      </c>
    </row>
    <row r="47" spans="2:2" x14ac:dyDescent="0.3">
      <c r="B47" s="8">
        <v>83.4</v>
      </c>
    </row>
    <row r="48" spans="2:2" x14ac:dyDescent="0.3">
      <c r="B48" s="8">
        <v>85.2</v>
      </c>
    </row>
    <row r="49" spans="2:2" x14ac:dyDescent="0.3">
      <c r="B49" s="8">
        <v>77.8</v>
      </c>
    </row>
    <row r="50" spans="2:2" x14ac:dyDescent="0.3">
      <c r="B50" s="8">
        <v>80.2</v>
      </c>
    </row>
    <row r="51" spans="2:2" x14ac:dyDescent="0.3">
      <c r="B51" s="8">
        <v>71</v>
      </c>
    </row>
    <row r="52" spans="2:2" x14ac:dyDescent="0.3">
      <c r="B52" s="8">
        <v>87.2</v>
      </c>
    </row>
    <row r="53" spans="2:2" x14ac:dyDescent="0.3">
      <c r="B53" s="8">
        <v>82.9</v>
      </c>
    </row>
    <row r="54" spans="2:2" x14ac:dyDescent="0.3">
      <c r="B54" s="8">
        <v>73.5</v>
      </c>
    </row>
    <row r="55" spans="2:2" x14ac:dyDescent="0.3">
      <c r="B55" s="8">
        <v>74.599999999999994</v>
      </c>
    </row>
    <row r="56" spans="2:2" x14ac:dyDescent="0.3">
      <c r="B56" s="8">
        <v>75.099999999999994</v>
      </c>
    </row>
    <row r="57" spans="2:2" x14ac:dyDescent="0.3">
      <c r="B57" s="8">
        <v>85.1</v>
      </c>
    </row>
    <row r="58" spans="2:2" x14ac:dyDescent="0.3">
      <c r="B58" s="8">
        <v>74.900000000000006</v>
      </c>
    </row>
    <row r="59" spans="2:2" x14ac:dyDescent="0.3">
      <c r="B59" s="8">
        <v>84.6</v>
      </c>
    </row>
    <row r="60" spans="2:2" x14ac:dyDescent="0.3">
      <c r="B60" s="8">
        <v>81.7</v>
      </c>
    </row>
    <row r="61" spans="2:2" x14ac:dyDescent="0.3">
      <c r="B61" s="8">
        <v>81.400000000000006</v>
      </c>
    </row>
    <row r="62" spans="2:2" x14ac:dyDescent="0.3">
      <c r="B62" s="8">
        <v>83.8</v>
      </c>
    </row>
    <row r="63" spans="2:2" x14ac:dyDescent="0.3">
      <c r="B63" s="8">
        <v>88.5</v>
      </c>
    </row>
    <row r="64" spans="2:2" x14ac:dyDescent="0.3">
      <c r="B64" s="8">
        <v>84.9</v>
      </c>
    </row>
    <row r="65" spans="2:2" x14ac:dyDescent="0.3">
      <c r="B65" s="8">
        <v>84.3</v>
      </c>
    </row>
    <row r="66" spans="2:2" x14ac:dyDescent="0.3">
      <c r="B66" s="8">
        <v>78.2</v>
      </c>
    </row>
    <row r="67" spans="2:2" x14ac:dyDescent="0.3">
      <c r="B67" s="8">
        <v>80</v>
      </c>
    </row>
    <row r="68" spans="2:2" x14ac:dyDescent="0.3">
      <c r="B68" s="8">
        <v>74.8</v>
      </c>
    </row>
    <row r="69" spans="2:2" x14ac:dyDescent="0.3">
      <c r="B69" s="8">
        <v>78.5</v>
      </c>
    </row>
    <row r="70" spans="2:2" x14ac:dyDescent="0.3">
      <c r="B70" s="8">
        <v>71.8</v>
      </c>
    </row>
    <row r="71" spans="2:2" x14ac:dyDescent="0.3">
      <c r="B71" s="8">
        <v>69.900000000000006</v>
      </c>
    </row>
    <row r="72" spans="2:2" x14ac:dyDescent="0.3">
      <c r="B72" s="8">
        <v>82.7</v>
      </c>
    </row>
    <row r="73" spans="2:2" x14ac:dyDescent="0.3">
      <c r="B73" s="8">
        <v>74</v>
      </c>
    </row>
    <row r="74" spans="2:2" x14ac:dyDescent="0.3">
      <c r="B74" s="8">
        <v>84</v>
      </c>
    </row>
    <row r="75" spans="2:2" x14ac:dyDescent="0.3">
      <c r="B75" s="8">
        <v>84.7</v>
      </c>
    </row>
    <row r="76" spans="2:2" x14ac:dyDescent="0.3">
      <c r="B76" s="8">
        <v>78.2</v>
      </c>
    </row>
    <row r="77" spans="2:2" x14ac:dyDescent="0.3">
      <c r="B77" s="8">
        <v>85</v>
      </c>
    </row>
    <row r="78" spans="2:2" x14ac:dyDescent="0.3">
      <c r="B78" s="8">
        <v>80.099999999999994</v>
      </c>
    </row>
    <row r="79" spans="2:2" x14ac:dyDescent="0.3">
      <c r="B79" s="8">
        <v>85.3</v>
      </c>
    </row>
    <row r="80" spans="2:2" x14ac:dyDescent="0.3">
      <c r="B80" s="8">
        <v>79.7</v>
      </c>
    </row>
    <row r="81" spans="2:2" x14ac:dyDescent="0.3">
      <c r="B81" s="8">
        <v>79.599999999999994</v>
      </c>
    </row>
    <row r="82" spans="2:2" x14ac:dyDescent="0.3">
      <c r="B82" s="8">
        <v>78.900000000000006</v>
      </c>
    </row>
    <row r="83" spans="2:2" x14ac:dyDescent="0.3">
      <c r="B83" s="8">
        <v>78.5</v>
      </c>
    </row>
    <row r="84" spans="2:2" x14ac:dyDescent="0.3">
      <c r="B84" s="8">
        <v>72</v>
      </c>
    </row>
    <row r="85" spans="2:2" x14ac:dyDescent="0.3">
      <c r="B85" s="8">
        <v>74.2</v>
      </c>
    </row>
    <row r="86" spans="2:2" x14ac:dyDescent="0.3">
      <c r="B86" s="8">
        <v>71.7</v>
      </c>
    </row>
    <row r="87" spans="2:2" x14ac:dyDescent="0.3">
      <c r="B87" s="8">
        <v>80.7</v>
      </c>
    </row>
    <row r="88" spans="2:2" x14ac:dyDescent="0.3">
      <c r="B88" s="8">
        <v>84.1</v>
      </c>
    </row>
    <row r="89" spans="2:2" x14ac:dyDescent="0.3">
      <c r="B89" s="8">
        <v>87.4</v>
      </c>
    </row>
    <row r="90" spans="2:2" x14ac:dyDescent="0.3">
      <c r="B90" s="8">
        <v>77.400000000000006</v>
      </c>
    </row>
    <row r="91" spans="2:2" x14ac:dyDescent="0.3">
      <c r="B91" s="8">
        <v>84.7</v>
      </c>
    </row>
    <row r="92" spans="2:2" x14ac:dyDescent="0.3">
      <c r="B92" s="8">
        <v>78.8</v>
      </c>
    </row>
    <row r="93" spans="2:2" x14ac:dyDescent="0.3">
      <c r="B93" s="8">
        <v>92.7</v>
      </c>
    </row>
    <row r="94" spans="2:2" x14ac:dyDescent="0.3">
      <c r="B94" s="8">
        <v>88.8</v>
      </c>
    </row>
    <row r="95" spans="2:2" x14ac:dyDescent="0.3">
      <c r="B95" s="8">
        <v>86.6</v>
      </c>
    </row>
    <row r="96" spans="2:2" x14ac:dyDescent="0.3">
      <c r="B96" s="8">
        <v>77.900000000000006</v>
      </c>
    </row>
    <row r="97" spans="2:2" x14ac:dyDescent="0.3">
      <c r="B97" s="8">
        <v>86.1</v>
      </c>
    </row>
    <row r="98" spans="2:2" x14ac:dyDescent="0.3">
      <c r="B98" s="8">
        <v>89.9</v>
      </c>
    </row>
    <row r="99" spans="2:2" x14ac:dyDescent="0.3">
      <c r="B99" s="8">
        <v>83.1</v>
      </c>
    </row>
    <row r="100" spans="2:2" x14ac:dyDescent="0.3">
      <c r="B100" s="8">
        <v>82.6</v>
      </c>
    </row>
  </sheetData>
  <mergeCells count="2">
    <mergeCell ref="D5:E5"/>
    <mergeCell ref="G5:H5"/>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D4AAF-BB33-4729-8161-7C7E21596711}">
  <sheetPr codeName="Sheet25">
    <tabColor theme="5" tint="0.79998168889431442"/>
  </sheetPr>
  <dimension ref="B1:H100"/>
  <sheetViews>
    <sheetView showGridLines="0" workbookViewId="0">
      <selection activeCell="H8" sqref="H8"/>
    </sheetView>
  </sheetViews>
  <sheetFormatPr defaultRowHeight="14.4" x14ac:dyDescent="0.3"/>
  <cols>
    <col min="1" max="1" width="2.88671875" customWidth="1"/>
    <col min="2" max="2" width="10.6640625" bestFit="1" customWidth="1"/>
    <col min="4" max="5" width="11.44140625" customWidth="1"/>
    <col min="7" max="7" width="20" customWidth="1"/>
  </cols>
  <sheetData>
    <row r="1" spans="2:8" ht="25.5" customHeight="1" x14ac:dyDescent="0.35">
      <c r="B1" s="17" t="s">
        <v>125</v>
      </c>
    </row>
    <row r="2" spans="2:8" ht="15" customHeight="1" x14ac:dyDescent="0.3">
      <c r="B2" s="27" t="s">
        <v>266</v>
      </c>
    </row>
    <row r="3" spans="2:8" ht="18" customHeight="1" x14ac:dyDescent="0.3"/>
    <row r="4" spans="2:8" x14ac:dyDescent="0.3">
      <c r="D4" s="3"/>
      <c r="G4" s="3"/>
    </row>
    <row r="5" spans="2:8" x14ac:dyDescent="0.3">
      <c r="B5" s="7" t="s">
        <v>69</v>
      </c>
      <c r="D5" s="108" t="s">
        <v>78</v>
      </c>
      <c r="E5" s="108"/>
      <c r="G5" s="108" t="s">
        <v>267</v>
      </c>
      <c r="H5" s="108"/>
    </row>
    <row r="6" spans="2:8" x14ac:dyDescent="0.3">
      <c r="B6" s="8">
        <v>90.2</v>
      </c>
      <c r="D6" s="19" t="s">
        <v>41</v>
      </c>
      <c r="E6" s="69">
        <f>AVERAGE(B6:B100)</f>
        <v>80.169473684210516</v>
      </c>
      <c r="G6" s="19" t="s">
        <v>105</v>
      </c>
      <c r="H6" s="76">
        <v>0.2</v>
      </c>
    </row>
    <row r="7" spans="2:8" x14ac:dyDescent="0.3">
      <c r="B7" s="8">
        <v>92.8</v>
      </c>
      <c r="D7" s="19" t="s">
        <v>62</v>
      </c>
      <c r="E7" s="69">
        <f>_xlfn.STDEV.S(B6:B100)</f>
        <v>6.1707800411122609</v>
      </c>
      <c r="G7" s="19" t="s">
        <v>82</v>
      </c>
      <c r="H7" s="64">
        <f>_xlfn.NORM.S.INV(H6)</f>
        <v>-0.84162123357291452</v>
      </c>
    </row>
    <row r="8" spans="2:8" x14ac:dyDescent="0.3">
      <c r="B8" s="8">
        <v>68.7</v>
      </c>
      <c r="G8" s="19"/>
      <c r="H8" s="26"/>
    </row>
    <row r="9" spans="2:8" x14ac:dyDescent="0.3">
      <c r="B9" s="8">
        <v>80.7</v>
      </c>
      <c r="D9" s="19"/>
      <c r="E9" s="26"/>
      <c r="G9" s="19"/>
      <c r="H9" s="26"/>
    </row>
    <row r="10" spans="2:8" x14ac:dyDescent="0.3">
      <c r="B10" s="8">
        <v>74.900000000000006</v>
      </c>
      <c r="D10" s="19"/>
      <c r="E10" s="26"/>
    </row>
    <row r="11" spans="2:8" x14ac:dyDescent="0.3">
      <c r="B11" s="8">
        <v>80.7</v>
      </c>
    </row>
    <row r="12" spans="2:8" x14ac:dyDescent="0.3">
      <c r="B12" s="8">
        <v>83.3</v>
      </c>
    </row>
    <row r="13" spans="2:8" x14ac:dyDescent="0.3">
      <c r="B13" s="8">
        <v>88.7</v>
      </c>
    </row>
    <row r="14" spans="2:8" x14ac:dyDescent="0.3">
      <c r="B14" s="8">
        <v>75.400000000000006</v>
      </c>
    </row>
    <row r="15" spans="2:8" x14ac:dyDescent="0.3">
      <c r="B15" s="8">
        <v>82.1</v>
      </c>
    </row>
    <row r="16" spans="2:8" x14ac:dyDescent="0.3">
      <c r="B16" s="8">
        <v>87.5</v>
      </c>
    </row>
    <row r="17" spans="2:2" x14ac:dyDescent="0.3">
      <c r="B17" s="8">
        <v>66.900000000000006</v>
      </c>
    </row>
    <row r="18" spans="2:2" x14ac:dyDescent="0.3">
      <c r="B18" s="8">
        <v>71.3</v>
      </c>
    </row>
    <row r="19" spans="2:2" x14ac:dyDescent="0.3">
      <c r="B19" s="8">
        <v>76.8</v>
      </c>
    </row>
    <row r="20" spans="2:2" x14ac:dyDescent="0.3">
      <c r="B20" s="8">
        <v>72.3</v>
      </c>
    </row>
    <row r="21" spans="2:2" x14ac:dyDescent="0.3">
      <c r="B21" s="8">
        <v>72.400000000000006</v>
      </c>
    </row>
    <row r="22" spans="2:2" x14ac:dyDescent="0.3">
      <c r="B22" s="8">
        <v>72</v>
      </c>
    </row>
    <row r="23" spans="2:2" x14ac:dyDescent="0.3">
      <c r="B23" s="8">
        <v>81</v>
      </c>
    </row>
    <row r="24" spans="2:2" x14ac:dyDescent="0.3">
      <c r="B24" s="8">
        <v>96.1</v>
      </c>
    </row>
    <row r="25" spans="2:2" x14ac:dyDescent="0.3">
      <c r="B25" s="8">
        <v>76.7</v>
      </c>
    </row>
    <row r="26" spans="2:2" x14ac:dyDescent="0.3">
      <c r="B26" s="8">
        <v>80.3</v>
      </c>
    </row>
    <row r="27" spans="2:2" x14ac:dyDescent="0.3">
      <c r="B27" s="8">
        <v>77.8</v>
      </c>
    </row>
    <row r="28" spans="2:2" x14ac:dyDescent="0.3">
      <c r="B28" s="8">
        <v>62.6</v>
      </c>
    </row>
    <row r="29" spans="2:2" x14ac:dyDescent="0.3">
      <c r="B29" s="8">
        <v>80.2</v>
      </c>
    </row>
    <row r="30" spans="2:2" x14ac:dyDescent="0.3">
      <c r="B30" s="8">
        <v>79.099999999999994</v>
      </c>
    </row>
    <row r="31" spans="2:2" x14ac:dyDescent="0.3">
      <c r="B31" s="8">
        <v>77.8</v>
      </c>
    </row>
    <row r="32" spans="2:2" x14ac:dyDescent="0.3">
      <c r="B32" s="8">
        <v>75.099999999999994</v>
      </c>
    </row>
    <row r="33" spans="2:2" x14ac:dyDescent="0.3">
      <c r="B33" s="8">
        <v>82.2</v>
      </c>
    </row>
    <row r="34" spans="2:2" x14ac:dyDescent="0.3">
      <c r="B34" s="8">
        <v>70.5</v>
      </c>
    </row>
    <row r="35" spans="2:2" x14ac:dyDescent="0.3">
      <c r="B35" s="8">
        <v>70.8</v>
      </c>
    </row>
    <row r="36" spans="2:2" x14ac:dyDescent="0.3">
      <c r="B36" s="8">
        <v>87.5</v>
      </c>
    </row>
    <row r="37" spans="2:2" x14ac:dyDescent="0.3">
      <c r="B37" s="8">
        <v>79.5</v>
      </c>
    </row>
    <row r="38" spans="2:2" x14ac:dyDescent="0.3">
      <c r="B38" s="8">
        <v>80.8</v>
      </c>
    </row>
    <row r="39" spans="2:2" x14ac:dyDescent="0.3">
      <c r="B39" s="8">
        <v>79.599999999999994</v>
      </c>
    </row>
    <row r="40" spans="2:2" x14ac:dyDescent="0.3">
      <c r="B40" s="8">
        <v>88.9</v>
      </c>
    </row>
    <row r="41" spans="2:2" x14ac:dyDescent="0.3">
      <c r="B41" s="8">
        <v>85.9</v>
      </c>
    </row>
    <row r="42" spans="2:2" x14ac:dyDescent="0.3">
      <c r="B42" s="8">
        <v>82.3</v>
      </c>
    </row>
    <row r="43" spans="2:2" x14ac:dyDescent="0.3">
      <c r="B43" s="8">
        <v>76.7</v>
      </c>
    </row>
    <row r="44" spans="2:2" x14ac:dyDescent="0.3">
      <c r="B44" s="8">
        <v>79.900000000000006</v>
      </c>
    </row>
    <row r="45" spans="2:2" x14ac:dyDescent="0.3">
      <c r="B45" s="8">
        <v>86.2</v>
      </c>
    </row>
    <row r="46" spans="2:2" x14ac:dyDescent="0.3">
      <c r="B46" s="8">
        <v>79.2</v>
      </c>
    </row>
    <row r="47" spans="2:2" x14ac:dyDescent="0.3">
      <c r="B47" s="8">
        <v>83.4</v>
      </c>
    </row>
    <row r="48" spans="2:2" x14ac:dyDescent="0.3">
      <c r="B48" s="8">
        <v>85.2</v>
      </c>
    </row>
    <row r="49" spans="2:2" x14ac:dyDescent="0.3">
      <c r="B49" s="8">
        <v>77.8</v>
      </c>
    </row>
    <row r="50" spans="2:2" x14ac:dyDescent="0.3">
      <c r="B50" s="8">
        <v>80.2</v>
      </c>
    </row>
    <row r="51" spans="2:2" x14ac:dyDescent="0.3">
      <c r="B51" s="8">
        <v>71</v>
      </c>
    </row>
    <row r="52" spans="2:2" x14ac:dyDescent="0.3">
      <c r="B52" s="8">
        <v>87.2</v>
      </c>
    </row>
    <row r="53" spans="2:2" x14ac:dyDescent="0.3">
      <c r="B53" s="8">
        <v>82.9</v>
      </c>
    </row>
    <row r="54" spans="2:2" x14ac:dyDescent="0.3">
      <c r="B54" s="8">
        <v>73.5</v>
      </c>
    </row>
    <row r="55" spans="2:2" x14ac:dyDescent="0.3">
      <c r="B55" s="8">
        <v>74.599999999999994</v>
      </c>
    </row>
    <row r="56" spans="2:2" x14ac:dyDescent="0.3">
      <c r="B56" s="8">
        <v>75.099999999999994</v>
      </c>
    </row>
    <row r="57" spans="2:2" x14ac:dyDescent="0.3">
      <c r="B57" s="8">
        <v>85.1</v>
      </c>
    </row>
    <row r="58" spans="2:2" x14ac:dyDescent="0.3">
      <c r="B58" s="8">
        <v>74.900000000000006</v>
      </c>
    </row>
    <row r="59" spans="2:2" x14ac:dyDescent="0.3">
      <c r="B59" s="8">
        <v>84.6</v>
      </c>
    </row>
    <row r="60" spans="2:2" x14ac:dyDescent="0.3">
      <c r="B60" s="8">
        <v>81.7</v>
      </c>
    </row>
    <row r="61" spans="2:2" x14ac:dyDescent="0.3">
      <c r="B61" s="8">
        <v>81.400000000000006</v>
      </c>
    </row>
    <row r="62" spans="2:2" x14ac:dyDescent="0.3">
      <c r="B62" s="8">
        <v>83.8</v>
      </c>
    </row>
    <row r="63" spans="2:2" x14ac:dyDescent="0.3">
      <c r="B63" s="8">
        <v>88.5</v>
      </c>
    </row>
    <row r="64" spans="2:2" x14ac:dyDescent="0.3">
      <c r="B64" s="8">
        <v>84.9</v>
      </c>
    </row>
    <row r="65" spans="2:2" x14ac:dyDescent="0.3">
      <c r="B65" s="8">
        <v>84.3</v>
      </c>
    </row>
    <row r="66" spans="2:2" x14ac:dyDescent="0.3">
      <c r="B66" s="8">
        <v>78.2</v>
      </c>
    </row>
    <row r="67" spans="2:2" x14ac:dyDescent="0.3">
      <c r="B67" s="8">
        <v>80</v>
      </c>
    </row>
    <row r="68" spans="2:2" x14ac:dyDescent="0.3">
      <c r="B68" s="8">
        <v>74.8</v>
      </c>
    </row>
    <row r="69" spans="2:2" x14ac:dyDescent="0.3">
      <c r="B69" s="8">
        <v>78.5</v>
      </c>
    </row>
    <row r="70" spans="2:2" x14ac:dyDescent="0.3">
      <c r="B70" s="8">
        <v>71.8</v>
      </c>
    </row>
    <row r="71" spans="2:2" x14ac:dyDescent="0.3">
      <c r="B71" s="8">
        <v>69.900000000000006</v>
      </c>
    </row>
    <row r="72" spans="2:2" x14ac:dyDescent="0.3">
      <c r="B72" s="8">
        <v>82.7</v>
      </c>
    </row>
    <row r="73" spans="2:2" x14ac:dyDescent="0.3">
      <c r="B73" s="8">
        <v>74</v>
      </c>
    </row>
    <row r="74" spans="2:2" x14ac:dyDescent="0.3">
      <c r="B74" s="8">
        <v>84</v>
      </c>
    </row>
    <row r="75" spans="2:2" x14ac:dyDescent="0.3">
      <c r="B75" s="8">
        <v>84.7</v>
      </c>
    </row>
    <row r="76" spans="2:2" x14ac:dyDescent="0.3">
      <c r="B76" s="8">
        <v>78.2</v>
      </c>
    </row>
    <row r="77" spans="2:2" x14ac:dyDescent="0.3">
      <c r="B77" s="8">
        <v>85</v>
      </c>
    </row>
    <row r="78" spans="2:2" x14ac:dyDescent="0.3">
      <c r="B78" s="8">
        <v>80.099999999999994</v>
      </c>
    </row>
    <row r="79" spans="2:2" x14ac:dyDescent="0.3">
      <c r="B79" s="8">
        <v>85.3</v>
      </c>
    </row>
    <row r="80" spans="2:2" x14ac:dyDescent="0.3">
      <c r="B80" s="8">
        <v>79.7</v>
      </c>
    </row>
    <row r="81" spans="2:2" x14ac:dyDescent="0.3">
      <c r="B81" s="8">
        <v>79.599999999999994</v>
      </c>
    </row>
    <row r="82" spans="2:2" x14ac:dyDescent="0.3">
      <c r="B82" s="8">
        <v>78.900000000000006</v>
      </c>
    </row>
    <row r="83" spans="2:2" x14ac:dyDescent="0.3">
      <c r="B83" s="8">
        <v>78.5</v>
      </c>
    </row>
    <row r="84" spans="2:2" x14ac:dyDescent="0.3">
      <c r="B84" s="8">
        <v>72</v>
      </c>
    </row>
    <row r="85" spans="2:2" x14ac:dyDescent="0.3">
      <c r="B85" s="8">
        <v>74.2</v>
      </c>
    </row>
    <row r="86" spans="2:2" x14ac:dyDescent="0.3">
      <c r="B86" s="8">
        <v>71.7</v>
      </c>
    </row>
    <row r="87" spans="2:2" x14ac:dyDescent="0.3">
      <c r="B87" s="8">
        <v>80.7</v>
      </c>
    </row>
    <row r="88" spans="2:2" x14ac:dyDescent="0.3">
      <c r="B88" s="8">
        <v>84.1</v>
      </c>
    </row>
    <row r="89" spans="2:2" x14ac:dyDescent="0.3">
      <c r="B89" s="8">
        <v>87.4</v>
      </c>
    </row>
    <row r="90" spans="2:2" x14ac:dyDescent="0.3">
      <c r="B90" s="8">
        <v>77.400000000000006</v>
      </c>
    </row>
    <row r="91" spans="2:2" x14ac:dyDescent="0.3">
      <c r="B91" s="8">
        <v>84.7</v>
      </c>
    </row>
    <row r="92" spans="2:2" x14ac:dyDescent="0.3">
      <c r="B92" s="8">
        <v>78.8</v>
      </c>
    </row>
    <row r="93" spans="2:2" x14ac:dyDescent="0.3">
      <c r="B93" s="8">
        <v>92.7</v>
      </c>
    </row>
    <row r="94" spans="2:2" x14ac:dyDescent="0.3">
      <c r="B94" s="8">
        <v>88.8</v>
      </c>
    </row>
    <row r="95" spans="2:2" x14ac:dyDescent="0.3">
      <c r="B95" s="8">
        <v>86.6</v>
      </c>
    </row>
    <row r="96" spans="2:2" x14ac:dyDescent="0.3">
      <c r="B96" s="8">
        <v>77.900000000000006</v>
      </c>
    </row>
    <row r="97" spans="2:2" x14ac:dyDescent="0.3">
      <c r="B97" s="8">
        <v>86.1</v>
      </c>
    </row>
    <row r="98" spans="2:2" x14ac:dyDescent="0.3">
      <c r="B98" s="8">
        <v>89.9</v>
      </c>
    </row>
    <row r="99" spans="2:2" x14ac:dyDescent="0.3">
      <c r="B99" s="8">
        <v>83.1</v>
      </c>
    </row>
    <row r="100" spans="2:2" x14ac:dyDescent="0.3">
      <c r="B100" s="8">
        <v>82.6</v>
      </c>
    </row>
  </sheetData>
  <mergeCells count="2">
    <mergeCell ref="D5:E5"/>
    <mergeCell ref="G5:H5"/>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06139-4863-4DA6-9AD6-D7192B0FABC0}">
  <sheetPr codeName="Sheet26">
    <tabColor theme="5" tint="0.59999389629810485"/>
  </sheetPr>
  <dimension ref="B1:H100"/>
  <sheetViews>
    <sheetView showGridLines="0" workbookViewId="0">
      <selection activeCell="H9" sqref="H9"/>
    </sheetView>
  </sheetViews>
  <sheetFormatPr defaultRowHeight="14.4" x14ac:dyDescent="0.3"/>
  <cols>
    <col min="1" max="1" width="2.88671875" customWidth="1"/>
    <col min="2" max="2" width="10.6640625" bestFit="1" customWidth="1"/>
    <col min="4" max="5" width="11.44140625" customWidth="1"/>
    <col min="7" max="7" width="14.33203125" customWidth="1"/>
  </cols>
  <sheetData>
    <row r="1" spans="2:8" ht="25.5" customHeight="1" x14ac:dyDescent="0.35">
      <c r="B1" s="17" t="s">
        <v>126</v>
      </c>
    </row>
    <row r="2" spans="2:8" ht="15" customHeight="1" x14ac:dyDescent="0.3">
      <c r="B2" s="27" t="s">
        <v>268</v>
      </c>
    </row>
    <row r="3" spans="2:8" ht="18" customHeight="1" x14ac:dyDescent="0.3"/>
    <row r="4" spans="2:8" x14ac:dyDescent="0.3">
      <c r="D4" s="3"/>
      <c r="G4" s="3"/>
    </row>
    <row r="5" spans="2:8" x14ac:dyDescent="0.3">
      <c r="B5" s="7" t="s">
        <v>69</v>
      </c>
      <c r="D5" s="108" t="s">
        <v>78</v>
      </c>
      <c r="E5" s="108"/>
      <c r="G5" s="108" t="s">
        <v>264</v>
      </c>
      <c r="H5" s="108"/>
    </row>
    <row r="6" spans="2:8" x14ac:dyDescent="0.3">
      <c r="B6" s="8">
        <v>90.2</v>
      </c>
      <c r="D6" s="19" t="s">
        <v>41</v>
      </c>
      <c r="E6" s="69">
        <f>AVERAGE(B6:B100)</f>
        <v>80.169473684210516</v>
      </c>
      <c r="G6" s="19" t="s">
        <v>105</v>
      </c>
      <c r="H6" s="76">
        <v>0.9</v>
      </c>
    </row>
    <row r="7" spans="2:8" x14ac:dyDescent="0.3">
      <c r="B7" s="8">
        <v>92.8</v>
      </c>
      <c r="D7" s="19" t="s">
        <v>62</v>
      </c>
      <c r="E7" s="69">
        <f>_xlfn.STDEV.S(B6:B100)</f>
        <v>6.1707800411122609</v>
      </c>
      <c r="G7" s="19" t="s">
        <v>106</v>
      </c>
      <c r="H7" s="77">
        <f>_xlfn.NORM.INV(H6,E6,E7)</f>
        <v>88.077646506529305</v>
      </c>
    </row>
    <row r="8" spans="2:8" x14ac:dyDescent="0.3">
      <c r="B8" s="8">
        <v>68.7</v>
      </c>
      <c r="G8" s="19" t="s">
        <v>82</v>
      </c>
      <c r="H8" s="78">
        <f>_xlfn.NORM.S.INV(H6)</f>
        <v>1.2815515655446006</v>
      </c>
    </row>
    <row r="9" spans="2:8" x14ac:dyDescent="0.3">
      <c r="B9" s="8">
        <v>80.7</v>
      </c>
    </row>
    <row r="10" spans="2:8" x14ac:dyDescent="0.3">
      <c r="B10" s="8">
        <v>74.900000000000006</v>
      </c>
    </row>
    <row r="11" spans="2:8" x14ac:dyDescent="0.3">
      <c r="B11" s="8">
        <v>80.7</v>
      </c>
    </row>
    <row r="12" spans="2:8" x14ac:dyDescent="0.3">
      <c r="B12" s="8">
        <v>83.3</v>
      </c>
    </row>
    <row r="13" spans="2:8" x14ac:dyDescent="0.3">
      <c r="B13" s="8">
        <v>88.7</v>
      </c>
    </row>
    <row r="14" spans="2:8" x14ac:dyDescent="0.3">
      <c r="B14" s="8">
        <v>75.400000000000006</v>
      </c>
    </row>
    <row r="15" spans="2:8" x14ac:dyDescent="0.3">
      <c r="B15" s="8">
        <v>82.1</v>
      </c>
    </row>
    <row r="16" spans="2:8" x14ac:dyDescent="0.3">
      <c r="B16" s="8">
        <v>87.5</v>
      </c>
    </row>
    <row r="17" spans="2:2" x14ac:dyDescent="0.3">
      <c r="B17" s="8">
        <v>66.900000000000006</v>
      </c>
    </row>
    <row r="18" spans="2:2" x14ac:dyDescent="0.3">
      <c r="B18" s="8">
        <v>71.3</v>
      </c>
    </row>
    <row r="19" spans="2:2" x14ac:dyDescent="0.3">
      <c r="B19" s="8">
        <v>76.8</v>
      </c>
    </row>
    <row r="20" spans="2:2" x14ac:dyDescent="0.3">
      <c r="B20" s="8">
        <v>72.3</v>
      </c>
    </row>
    <row r="21" spans="2:2" x14ac:dyDescent="0.3">
      <c r="B21" s="8">
        <v>72.400000000000006</v>
      </c>
    </row>
    <row r="22" spans="2:2" x14ac:dyDescent="0.3">
      <c r="B22" s="8">
        <v>72</v>
      </c>
    </row>
    <row r="23" spans="2:2" x14ac:dyDescent="0.3">
      <c r="B23" s="8">
        <v>81</v>
      </c>
    </row>
    <row r="24" spans="2:2" x14ac:dyDescent="0.3">
      <c r="B24" s="8">
        <v>96.1</v>
      </c>
    </row>
    <row r="25" spans="2:2" x14ac:dyDescent="0.3">
      <c r="B25" s="8">
        <v>76.7</v>
      </c>
    </row>
    <row r="26" spans="2:2" x14ac:dyDescent="0.3">
      <c r="B26" s="8">
        <v>80.3</v>
      </c>
    </row>
    <row r="27" spans="2:2" x14ac:dyDescent="0.3">
      <c r="B27" s="8">
        <v>77.8</v>
      </c>
    </row>
    <row r="28" spans="2:2" x14ac:dyDescent="0.3">
      <c r="B28" s="8">
        <v>62.6</v>
      </c>
    </row>
    <row r="29" spans="2:2" x14ac:dyDescent="0.3">
      <c r="B29" s="8">
        <v>80.2</v>
      </c>
    </row>
    <row r="30" spans="2:2" x14ac:dyDescent="0.3">
      <c r="B30" s="8">
        <v>79.099999999999994</v>
      </c>
    </row>
    <row r="31" spans="2:2" x14ac:dyDescent="0.3">
      <c r="B31" s="8">
        <v>77.8</v>
      </c>
    </row>
    <row r="32" spans="2:2" x14ac:dyDescent="0.3">
      <c r="B32" s="8">
        <v>75.099999999999994</v>
      </c>
    </row>
    <row r="33" spans="2:2" x14ac:dyDescent="0.3">
      <c r="B33" s="8">
        <v>82.2</v>
      </c>
    </row>
    <row r="34" spans="2:2" x14ac:dyDescent="0.3">
      <c r="B34" s="8">
        <v>70.5</v>
      </c>
    </row>
    <row r="35" spans="2:2" x14ac:dyDescent="0.3">
      <c r="B35" s="8">
        <v>70.8</v>
      </c>
    </row>
    <row r="36" spans="2:2" x14ac:dyDescent="0.3">
      <c r="B36" s="8">
        <v>87.5</v>
      </c>
    </row>
    <row r="37" spans="2:2" x14ac:dyDescent="0.3">
      <c r="B37" s="8">
        <v>79.5</v>
      </c>
    </row>
    <row r="38" spans="2:2" x14ac:dyDescent="0.3">
      <c r="B38" s="8">
        <v>80.8</v>
      </c>
    </row>
    <row r="39" spans="2:2" x14ac:dyDescent="0.3">
      <c r="B39" s="8">
        <v>79.599999999999994</v>
      </c>
    </row>
    <row r="40" spans="2:2" x14ac:dyDescent="0.3">
      <c r="B40" s="8">
        <v>88.9</v>
      </c>
    </row>
    <row r="41" spans="2:2" x14ac:dyDescent="0.3">
      <c r="B41" s="8">
        <v>85.9</v>
      </c>
    </row>
    <row r="42" spans="2:2" x14ac:dyDescent="0.3">
      <c r="B42" s="8">
        <v>82.3</v>
      </c>
    </row>
    <row r="43" spans="2:2" x14ac:dyDescent="0.3">
      <c r="B43" s="8">
        <v>76.7</v>
      </c>
    </row>
    <row r="44" spans="2:2" x14ac:dyDescent="0.3">
      <c r="B44" s="8">
        <v>79.900000000000006</v>
      </c>
    </row>
    <row r="45" spans="2:2" x14ac:dyDescent="0.3">
      <c r="B45" s="8">
        <v>86.2</v>
      </c>
    </row>
    <row r="46" spans="2:2" x14ac:dyDescent="0.3">
      <c r="B46" s="8">
        <v>79.2</v>
      </c>
    </row>
    <row r="47" spans="2:2" x14ac:dyDescent="0.3">
      <c r="B47" s="8">
        <v>83.4</v>
      </c>
    </row>
    <row r="48" spans="2:2" x14ac:dyDescent="0.3">
      <c r="B48" s="8">
        <v>85.2</v>
      </c>
    </row>
    <row r="49" spans="2:2" x14ac:dyDescent="0.3">
      <c r="B49" s="8">
        <v>77.8</v>
      </c>
    </row>
    <row r="50" spans="2:2" x14ac:dyDescent="0.3">
      <c r="B50" s="8">
        <v>80.2</v>
      </c>
    </row>
    <row r="51" spans="2:2" x14ac:dyDescent="0.3">
      <c r="B51" s="8">
        <v>71</v>
      </c>
    </row>
    <row r="52" spans="2:2" x14ac:dyDescent="0.3">
      <c r="B52" s="8">
        <v>87.2</v>
      </c>
    </row>
    <row r="53" spans="2:2" x14ac:dyDescent="0.3">
      <c r="B53" s="8">
        <v>82.9</v>
      </c>
    </row>
    <row r="54" spans="2:2" x14ac:dyDescent="0.3">
      <c r="B54" s="8">
        <v>73.5</v>
      </c>
    </row>
    <row r="55" spans="2:2" x14ac:dyDescent="0.3">
      <c r="B55" s="8">
        <v>74.599999999999994</v>
      </c>
    </row>
    <row r="56" spans="2:2" x14ac:dyDescent="0.3">
      <c r="B56" s="8">
        <v>75.099999999999994</v>
      </c>
    </row>
    <row r="57" spans="2:2" x14ac:dyDescent="0.3">
      <c r="B57" s="8">
        <v>85.1</v>
      </c>
    </row>
    <row r="58" spans="2:2" x14ac:dyDescent="0.3">
      <c r="B58" s="8">
        <v>74.900000000000006</v>
      </c>
    </row>
    <row r="59" spans="2:2" x14ac:dyDescent="0.3">
      <c r="B59" s="8">
        <v>84.6</v>
      </c>
    </row>
    <row r="60" spans="2:2" x14ac:dyDescent="0.3">
      <c r="B60" s="8">
        <v>81.7</v>
      </c>
    </row>
    <row r="61" spans="2:2" x14ac:dyDescent="0.3">
      <c r="B61" s="8">
        <v>81.400000000000006</v>
      </c>
    </row>
    <row r="62" spans="2:2" x14ac:dyDescent="0.3">
      <c r="B62" s="8">
        <v>83.8</v>
      </c>
    </row>
    <row r="63" spans="2:2" x14ac:dyDescent="0.3">
      <c r="B63" s="8">
        <v>88.5</v>
      </c>
    </row>
    <row r="64" spans="2:2" x14ac:dyDescent="0.3">
      <c r="B64" s="8">
        <v>84.9</v>
      </c>
    </row>
    <row r="65" spans="2:2" x14ac:dyDescent="0.3">
      <c r="B65" s="8">
        <v>84.3</v>
      </c>
    </row>
    <row r="66" spans="2:2" x14ac:dyDescent="0.3">
      <c r="B66" s="8">
        <v>78.2</v>
      </c>
    </row>
    <row r="67" spans="2:2" x14ac:dyDescent="0.3">
      <c r="B67" s="8">
        <v>80</v>
      </c>
    </row>
    <row r="68" spans="2:2" x14ac:dyDescent="0.3">
      <c r="B68" s="8">
        <v>74.8</v>
      </c>
    </row>
    <row r="69" spans="2:2" x14ac:dyDescent="0.3">
      <c r="B69" s="8">
        <v>78.5</v>
      </c>
    </row>
    <row r="70" spans="2:2" x14ac:dyDescent="0.3">
      <c r="B70" s="8">
        <v>71.8</v>
      </c>
    </row>
    <row r="71" spans="2:2" x14ac:dyDescent="0.3">
      <c r="B71" s="8">
        <v>69.900000000000006</v>
      </c>
    </row>
    <row r="72" spans="2:2" x14ac:dyDescent="0.3">
      <c r="B72" s="8">
        <v>82.7</v>
      </c>
    </row>
    <row r="73" spans="2:2" x14ac:dyDescent="0.3">
      <c r="B73" s="8">
        <v>74</v>
      </c>
    </row>
    <row r="74" spans="2:2" x14ac:dyDescent="0.3">
      <c r="B74" s="8">
        <v>84</v>
      </c>
    </row>
    <row r="75" spans="2:2" x14ac:dyDescent="0.3">
      <c r="B75" s="8">
        <v>84.7</v>
      </c>
    </row>
    <row r="76" spans="2:2" x14ac:dyDescent="0.3">
      <c r="B76" s="8">
        <v>78.2</v>
      </c>
    </row>
    <row r="77" spans="2:2" x14ac:dyDescent="0.3">
      <c r="B77" s="8">
        <v>85</v>
      </c>
    </row>
    <row r="78" spans="2:2" x14ac:dyDescent="0.3">
      <c r="B78" s="8">
        <v>80.099999999999994</v>
      </c>
    </row>
    <row r="79" spans="2:2" x14ac:dyDescent="0.3">
      <c r="B79" s="8">
        <v>85.3</v>
      </c>
    </row>
    <row r="80" spans="2:2" x14ac:dyDescent="0.3">
      <c r="B80" s="8">
        <v>79.7</v>
      </c>
    </row>
    <row r="81" spans="2:2" x14ac:dyDescent="0.3">
      <c r="B81" s="8">
        <v>79.599999999999994</v>
      </c>
    </row>
    <row r="82" spans="2:2" x14ac:dyDescent="0.3">
      <c r="B82" s="8">
        <v>78.900000000000006</v>
      </c>
    </row>
    <row r="83" spans="2:2" x14ac:dyDescent="0.3">
      <c r="B83" s="8">
        <v>78.5</v>
      </c>
    </row>
    <row r="84" spans="2:2" x14ac:dyDescent="0.3">
      <c r="B84" s="8">
        <v>72</v>
      </c>
    </row>
    <row r="85" spans="2:2" x14ac:dyDescent="0.3">
      <c r="B85" s="8">
        <v>74.2</v>
      </c>
    </row>
    <row r="86" spans="2:2" x14ac:dyDescent="0.3">
      <c r="B86" s="8">
        <v>71.7</v>
      </c>
    </row>
    <row r="87" spans="2:2" x14ac:dyDescent="0.3">
      <c r="B87" s="8">
        <v>80.7</v>
      </c>
    </row>
    <row r="88" spans="2:2" x14ac:dyDescent="0.3">
      <c r="B88" s="8">
        <v>84.1</v>
      </c>
    </row>
    <row r="89" spans="2:2" x14ac:dyDescent="0.3">
      <c r="B89" s="8">
        <v>87.4</v>
      </c>
    </row>
    <row r="90" spans="2:2" x14ac:dyDescent="0.3">
      <c r="B90" s="8">
        <v>77.400000000000006</v>
      </c>
    </row>
    <row r="91" spans="2:2" x14ac:dyDescent="0.3">
      <c r="B91" s="8">
        <v>84.7</v>
      </c>
    </row>
    <row r="92" spans="2:2" x14ac:dyDescent="0.3">
      <c r="B92" s="8">
        <v>78.8</v>
      </c>
    </row>
    <row r="93" spans="2:2" x14ac:dyDescent="0.3">
      <c r="B93" s="8">
        <v>92.7</v>
      </c>
    </row>
    <row r="94" spans="2:2" x14ac:dyDescent="0.3">
      <c r="B94" s="8">
        <v>88.8</v>
      </c>
    </row>
    <row r="95" spans="2:2" x14ac:dyDescent="0.3">
      <c r="B95" s="8">
        <v>86.6</v>
      </c>
    </row>
    <row r="96" spans="2:2" x14ac:dyDescent="0.3">
      <c r="B96" s="8">
        <v>77.900000000000006</v>
      </c>
    </row>
    <row r="97" spans="2:2" x14ac:dyDescent="0.3">
      <c r="B97" s="8">
        <v>86.1</v>
      </c>
    </row>
    <row r="98" spans="2:2" x14ac:dyDescent="0.3">
      <c r="B98" s="8">
        <v>89.9</v>
      </c>
    </row>
    <row r="99" spans="2:2" x14ac:dyDescent="0.3">
      <c r="B99" s="8">
        <v>83.1</v>
      </c>
    </row>
    <row r="100" spans="2:2" x14ac:dyDescent="0.3">
      <c r="B100" s="8">
        <v>82.6</v>
      </c>
    </row>
  </sheetData>
  <mergeCells count="2">
    <mergeCell ref="D5:E5"/>
    <mergeCell ref="G5:H5"/>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0A3AC-2677-494D-A75F-C45C685E047A}">
  <sheetPr codeName="Sheet27">
    <tabColor theme="9" tint="0.79998168889431442"/>
  </sheetPr>
  <dimension ref="B1:K100"/>
  <sheetViews>
    <sheetView showGridLines="0" workbookViewId="0">
      <selection activeCell="J14" sqref="J14"/>
    </sheetView>
  </sheetViews>
  <sheetFormatPr defaultRowHeight="14.4" x14ac:dyDescent="0.3"/>
  <cols>
    <col min="1" max="1" width="2.88671875" customWidth="1"/>
    <col min="2" max="2" width="19.33203125" bestFit="1" customWidth="1"/>
    <col min="4" max="4" width="12.109375" customWidth="1"/>
    <col min="5" max="5" width="11.44140625" customWidth="1"/>
    <col min="7" max="7" width="20" customWidth="1"/>
    <col min="8" max="8" width="9.5546875" bestFit="1" customWidth="1"/>
    <col min="10" max="10" width="14.33203125" customWidth="1"/>
    <col min="11" max="11" width="11.44140625" customWidth="1"/>
  </cols>
  <sheetData>
    <row r="1" spans="2:11" ht="25.5" customHeight="1" x14ac:dyDescent="0.35">
      <c r="B1" s="17" t="s">
        <v>134</v>
      </c>
    </row>
    <row r="2" spans="2:11" ht="15" customHeight="1" x14ac:dyDescent="0.3">
      <c r="B2" s="27" t="s">
        <v>142</v>
      </c>
    </row>
    <row r="3" spans="2:11" ht="18" customHeight="1" x14ac:dyDescent="0.3"/>
    <row r="4" spans="2:11" x14ac:dyDescent="0.3">
      <c r="D4" s="3"/>
      <c r="G4" s="3"/>
      <c r="J4" s="3"/>
    </row>
    <row r="5" spans="2:11" x14ac:dyDescent="0.3">
      <c r="B5" s="7" t="s">
        <v>22</v>
      </c>
      <c r="D5" s="108" t="s">
        <v>128</v>
      </c>
      <c r="E5" s="108"/>
      <c r="G5" s="108" t="s">
        <v>130</v>
      </c>
      <c r="H5" s="108"/>
      <c r="J5" s="108" t="s">
        <v>136</v>
      </c>
      <c r="K5" s="108"/>
    </row>
    <row r="6" spans="2:11" x14ac:dyDescent="0.3">
      <c r="B6" s="8">
        <v>276</v>
      </c>
      <c r="D6" s="19" t="s">
        <v>63</v>
      </c>
      <c r="E6" s="65">
        <f>COUNT(B6:B100)</f>
        <v>95</v>
      </c>
      <c r="G6" s="19" t="s">
        <v>131</v>
      </c>
      <c r="H6" s="76">
        <v>0.9</v>
      </c>
      <c r="J6" s="19" t="s">
        <v>137</v>
      </c>
      <c r="K6" s="69">
        <f>E7-H11</f>
        <v>274.159110498644</v>
      </c>
    </row>
    <row r="7" spans="2:11" x14ac:dyDescent="0.3">
      <c r="B7" s="8">
        <v>410</v>
      </c>
      <c r="D7" s="19" t="s">
        <v>41</v>
      </c>
      <c r="E7" s="66">
        <f>AVERAGE(B6:B100)</f>
        <v>289.34736842105264</v>
      </c>
      <c r="G7" s="19" t="s">
        <v>132</v>
      </c>
      <c r="H7" s="76">
        <f>1-H6</f>
        <v>9.9999999999999978E-2</v>
      </c>
      <c r="J7" s="19" t="s">
        <v>138</v>
      </c>
      <c r="K7" s="69">
        <f>E7+H11</f>
        <v>304.53562634346127</v>
      </c>
    </row>
    <row r="8" spans="2:11" x14ac:dyDescent="0.3">
      <c r="B8" s="8">
        <v>119</v>
      </c>
      <c r="G8" s="19" t="s">
        <v>133</v>
      </c>
      <c r="H8" s="79">
        <f>H7/2</f>
        <v>4.9999999999999989E-2</v>
      </c>
    </row>
    <row r="9" spans="2:11" x14ac:dyDescent="0.3">
      <c r="B9" s="8">
        <v>334</v>
      </c>
      <c r="D9" s="108" t="s">
        <v>129</v>
      </c>
      <c r="E9" s="108"/>
      <c r="G9" s="19" t="s">
        <v>141</v>
      </c>
      <c r="H9" s="80">
        <f>_xlfn.NORM.S.INV((1-H8))</f>
        <v>1.6448536269514715</v>
      </c>
    </row>
    <row r="10" spans="2:11" x14ac:dyDescent="0.3">
      <c r="B10" s="8">
        <v>252</v>
      </c>
      <c r="D10" s="19" t="s">
        <v>62</v>
      </c>
      <c r="E10" s="65">
        <v>90</v>
      </c>
      <c r="G10" s="19" t="s">
        <v>135</v>
      </c>
      <c r="H10" s="69">
        <f>E10/SQRT(E6)</f>
        <v>9.2338051687663878</v>
      </c>
    </row>
    <row r="11" spans="2:11" x14ac:dyDescent="0.3">
      <c r="B11" s="8">
        <v>209</v>
      </c>
      <c r="D11" s="19"/>
      <c r="E11" s="1"/>
      <c r="G11" s="19" t="s">
        <v>139</v>
      </c>
      <c r="H11" s="69">
        <f>_xlfn.CONFIDENCE.NORM(H7,E10,E6)</f>
        <v>15.188257922408638</v>
      </c>
    </row>
    <row r="12" spans="2:11" x14ac:dyDescent="0.3">
      <c r="B12" s="8">
        <v>462</v>
      </c>
    </row>
    <row r="13" spans="2:11" x14ac:dyDescent="0.3">
      <c r="B13" s="8">
        <v>342</v>
      </c>
    </row>
    <row r="14" spans="2:11" x14ac:dyDescent="0.3">
      <c r="B14" s="8">
        <v>347</v>
      </c>
    </row>
    <row r="15" spans="2:11" x14ac:dyDescent="0.3">
      <c r="B15" s="8">
        <v>313</v>
      </c>
    </row>
    <row r="16" spans="2:11" x14ac:dyDescent="0.3">
      <c r="B16" s="8">
        <v>232</v>
      </c>
    </row>
    <row r="17" spans="2:2" x14ac:dyDescent="0.3">
      <c r="B17" s="8">
        <v>163</v>
      </c>
    </row>
    <row r="18" spans="2:2" x14ac:dyDescent="0.3">
      <c r="B18" s="8">
        <v>119</v>
      </c>
    </row>
    <row r="19" spans="2:2" x14ac:dyDescent="0.3">
      <c r="B19" s="8">
        <v>304</v>
      </c>
    </row>
    <row r="20" spans="2:2" x14ac:dyDescent="0.3">
      <c r="B20" s="8">
        <v>211</v>
      </c>
    </row>
    <row r="21" spans="2:2" x14ac:dyDescent="0.3">
      <c r="B21" s="8">
        <v>286</v>
      </c>
    </row>
    <row r="22" spans="2:2" x14ac:dyDescent="0.3">
      <c r="B22" s="8">
        <v>122</v>
      </c>
    </row>
    <row r="23" spans="2:2" x14ac:dyDescent="0.3">
      <c r="B23" s="8">
        <v>443</v>
      </c>
    </row>
    <row r="24" spans="2:2" x14ac:dyDescent="0.3">
      <c r="B24" s="8">
        <v>366</v>
      </c>
    </row>
    <row r="25" spans="2:2" x14ac:dyDescent="0.3">
      <c r="B25" s="8">
        <v>244</v>
      </c>
    </row>
    <row r="26" spans="2:2" x14ac:dyDescent="0.3">
      <c r="B26" s="8">
        <v>241</v>
      </c>
    </row>
    <row r="27" spans="2:2" x14ac:dyDescent="0.3">
      <c r="B27" s="8">
        <v>237</v>
      </c>
    </row>
    <row r="28" spans="2:2" x14ac:dyDescent="0.3">
      <c r="B28" s="8">
        <v>122</v>
      </c>
    </row>
    <row r="29" spans="2:2" x14ac:dyDescent="0.3">
      <c r="B29" s="8">
        <v>129</v>
      </c>
    </row>
    <row r="30" spans="2:2" x14ac:dyDescent="0.3">
      <c r="B30" s="8">
        <v>236</v>
      </c>
    </row>
    <row r="31" spans="2:2" x14ac:dyDescent="0.3">
      <c r="B31" s="8">
        <v>251</v>
      </c>
    </row>
    <row r="32" spans="2:2" x14ac:dyDescent="0.3">
      <c r="B32" s="8">
        <v>283</v>
      </c>
    </row>
    <row r="33" spans="2:2" x14ac:dyDescent="0.3">
      <c r="B33" s="8">
        <v>225</v>
      </c>
    </row>
    <row r="34" spans="2:2" x14ac:dyDescent="0.3">
      <c r="B34" s="8">
        <v>102</v>
      </c>
    </row>
    <row r="35" spans="2:2" x14ac:dyDescent="0.3">
      <c r="B35" s="8">
        <v>180</v>
      </c>
    </row>
    <row r="36" spans="2:2" x14ac:dyDescent="0.3">
      <c r="B36" s="8">
        <v>247</v>
      </c>
    </row>
    <row r="37" spans="2:2" x14ac:dyDescent="0.3">
      <c r="B37" s="8">
        <v>343</v>
      </c>
    </row>
    <row r="38" spans="2:2" x14ac:dyDescent="0.3">
      <c r="B38" s="8">
        <v>283</v>
      </c>
    </row>
    <row r="39" spans="2:2" x14ac:dyDescent="0.3">
      <c r="B39" s="8">
        <v>253</v>
      </c>
    </row>
    <row r="40" spans="2:2" x14ac:dyDescent="0.3">
      <c r="B40" s="8">
        <v>263</v>
      </c>
    </row>
    <row r="41" spans="2:2" x14ac:dyDescent="0.3">
      <c r="B41" s="8">
        <v>291</v>
      </c>
    </row>
    <row r="42" spans="2:2" x14ac:dyDescent="0.3">
      <c r="B42" s="8">
        <v>368</v>
      </c>
    </row>
    <row r="43" spans="2:2" x14ac:dyDescent="0.3">
      <c r="B43" s="8">
        <v>206</v>
      </c>
    </row>
    <row r="44" spans="2:2" x14ac:dyDescent="0.3">
      <c r="B44" s="8">
        <v>231</v>
      </c>
    </row>
    <row r="45" spans="2:2" x14ac:dyDescent="0.3">
      <c r="B45" s="8">
        <v>389</v>
      </c>
    </row>
    <row r="46" spans="2:2" x14ac:dyDescent="0.3">
      <c r="B46" s="8">
        <v>396</v>
      </c>
    </row>
    <row r="47" spans="2:2" x14ac:dyDescent="0.3">
      <c r="B47" s="8">
        <v>339</v>
      </c>
    </row>
    <row r="48" spans="2:2" x14ac:dyDescent="0.3">
      <c r="B48" s="8">
        <v>286</v>
      </c>
    </row>
    <row r="49" spans="2:2" x14ac:dyDescent="0.3">
      <c r="B49" s="8">
        <v>146</v>
      </c>
    </row>
    <row r="50" spans="2:2" x14ac:dyDescent="0.3">
      <c r="B50" s="8">
        <v>315</v>
      </c>
    </row>
    <row r="51" spans="2:2" x14ac:dyDescent="0.3">
      <c r="B51" s="8">
        <v>183</v>
      </c>
    </row>
    <row r="52" spans="2:2" x14ac:dyDescent="0.3">
      <c r="B52" s="8">
        <v>481</v>
      </c>
    </row>
    <row r="53" spans="2:2" x14ac:dyDescent="0.3">
      <c r="B53" s="8">
        <v>349</v>
      </c>
    </row>
    <row r="54" spans="2:2" x14ac:dyDescent="0.3">
      <c r="B54" s="8">
        <v>225</v>
      </c>
    </row>
    <row r="55" spans="2:2" x14ac:dyDescent="0.3">
      <c r="B55" s="8">
        <v>217</v>
      </c>
    </row>
    <row r="56" spans="2:2" x14ac:dyDescent="0.3">
      <c r="B56" s="8">
        <v>353</v>
      </c>
    </row>
    <row r="57" spans="2:2" x14ac:dyDescent="0.3">
      <c r="B57" s="8">
        <v>314</v>
      </c>
    </row>
    <row r="58" spans="2:2" x14ac:dyDescent="0.3">
      <c r="B58" s="8">
        <v>247</v>
      </c>
    </row>
    <row r="59" spans="2:2" x14ac:dyDescent="0.3">
      <c r="B59" s="8">
        <v>410</v>
      </c>
    </row>
    <row r="60" spans="2:2" x14ac:dyDescent="0.3">
      <c r="B60" s="8">
        <v>395</v>
      </c>
    </row>
    <row r="61" spans="2:2" x14ac:dyDescent="0.3">
      <c r="B61" s="8">
        <v>416</v>
      </c>
    </row>
    <row r="62" spans="2:2" x14ac:dyDescent="0.3">
      <c r="B62" s="8">
        <v>342</v>
      </c>
    </row>
    <row r="63" spans="2:2" x14ac:dyDescent="0.3">
      <c r="B63" s="8">
        <v>446</v>
      </c>
    </row>
    <row r="64" spans="2:2" x14ac:dyDescent="0.3">
      <c r="B64" s="8">
        <v>477</v>
      </c>
    </row>
    <row r="65" spans="2:2" x14ac:dyDescent="0.3">
      <c r="B65" s="8">
        <v>444</v>
      </c>
    </row>
    <row r="66" spans="2:2" x14ac:dyDescent="0.3">
      <c r="B66" s="8">
        <v>351</v>
      </c>
    </row>
    <row r="67" spans="2:2" x14ac:dyDescent="0.3">
      <c r="B67" s="8">
        <v>165</v>
      </c>
    </row>
    <row r="68" spans="2:2" x14ac:dyDescent="0.3">
      <c r="B68" s="8">
        <v>317</v>
      </c>
    </row>
    <row r="69" spans="2:2" x14ac:dyDescent="0.3">
      <c r="B69" s="8">
        <v>250</v>
      </c>
    </row>
    <row r="70" spans="2:2" x14ac:dyDescent="0.3">
      <c r="B70" s="8">
        <v>217</v>
      </c>
    </row>
    <row r="71" spans="2:2" x14ac:dyDescent="0.3">
      <c r="B71" s="8">
        <v>138</v>
      </c>
    </row>
    <row r="72" spans="2:2" x14ac:dyDescent="0.3">
      <c r="B72" s="8">
        <v>302</v>
      </c>
    </row>
    <row r="73" spans="2:2" x14ac:dyDescent="0.3">
      <c r="B73" s="8">
        <v>311</v>
      </c>
    </row>
    <row r="74" spans="2:2" x14ac:dyDescent="0.3">
      <c r="B74" s="8">
        <v>373</v>
      </c>
    </row>
    <row r="75" spans="2:2" x14ac:dyDescent="0.3">
      <c r="B75" s="8">
        <v>196</v>
      </c>
    </row>
    <row r="76" spans="2:2" x14ac:dyDescent="0.3">
      <c r="B76" s="8">
        <v>306</v>
      </c>
    </row>
    <row r="77" spans="2:2" x14ac:dyDescent="0.3">
      <c r="B77" s="8">
        <v>302</v>
      </c>
    </row>
    <row r="78" spans="2:2" x14ac:dyDescent="0.3">
      <c r="B78" s="8">
        <v>278</v>
      </c>
    </row>
    <row r="79" spans="2:2" x14ac:dyDescent="0.3">
      <c r="B79" s="8">
        <v>429</v>
      </c>
    </row>
    <row r="80" spans="2:2" x14ac:dyDescent="0.3">
      <c r="B80" s="8">
        <v>338</v>
      </c>
    </row>
    <row r="81" spans="2:2" x14ac:dyDescent="0.3">
      <c r="B81" s="8">
        <v>261</v>
      </c>
    </row>
    <row r="82" spans="2:2" x14ac:dyDescent="0.3">
      <c r="B82" s="8">
        <v>256</v>
      </c>
    </row>
    <row r="83" spans="2:2" x14ac:dyDescent="0.3">
      <c r="B83" s="8">
        <v>183</v>
      </c>
    </row>
    <row r="84" spans="2:2" x14ac:dyDescent="0.3">
      <c r="B84" s="8">
        <v>274</v>
      </c>
    </row>
    <row r="85" spans="2:2" x14ac:dyDescent="0.3">
      <c r="B85" s="8">
        <v>182</v>
      </c>
    </row>
    <row r="86" spans="2:2" x14ac:dyDescent="0.3">
      <c r="B86" s="8">
        <v>183</v>
      </c>
    </row>
    <row r="87" spans="2:2" x14ac:dyDescent="0.3">
      <c r="B87" s="8">
        <v>309</v>
      </c>
    </row>
    <row r="88" spans="2:2" x14ac:dyDescent="0.3">
      <c r="B88" s="8">
        <v>178</v>
      </c>
    </row>
    <row r="89" spans="2:2" x14ac:dyDescent="0.3">
      <c r="B89" s="8">
        <v>458</v>
      </c>
    </row>
    <row r="90" spans="2:2" x14ac:dyDescent="0.3">
      <c r="B90" s="8">
        <v>234</v>
      </c>
    </row>
    <row r="91" spans="2:2" x14ac:dyDescent="0.3">
      <c r="B91" s="8">
        <v>306</v>
      </c>
    </row>
    <row r="92" spans="2:2" x14ac:dyDescent="0.3">
      <c r="B92" s="8">
        <v>400</v>
      </c>
    </row>
    <row r="93" spans="2:2" x14ac:dyDescent="0.3">
      <c r="B93" s="8">
        <v>337</v>
      </c>
    </row>
    <row r="94" spans="2:2" x14ac:dyDescent="0.3">
      <c r="B94" s="8">
        <v>325</v>
      </c>
    </row>
    <row r="95" spans="2:2" x14ac:dyDescent="0.3">
      <c r="B95" s="8">
        <v>329</v>
      </c>
    </row>
    <row r="96" spans="2:2" x14ac:dyDescent="0.3">
      <c r="B96" s="8">
        <v>369</v>
      </c>
    </row>
    <row r="97" spans="2:2" x14ac:dyDescent="0.3">
      <c r="B97" s="8">
        <v>457</v>
      </c>
    </row>
    <row r="98" spans="2:2" x14ac:dyDescent="0.3">
      <c r="B98" s="8">
        <v>421</v>
      </c>
    </row>
    <row r="99" spans="2:2" x14ac:dyDescent="0.3">
      <c r="B99" s="8">
        <v>282</v>
      </c>
    </row>
    <row r="100" spans="2:2" x14ac:dyDescent="0.3">
      <c r="B100" s="8">
        <v>256</v>
      </c>
    </row>
  </sheetData>
  <mergeCells count="4">
    <mergeCell ref="D5:E5"/>
    <mergeCell ref="G5:H5"/>
    <mergeCell ref="D9:E9"/>
    <mergeCell ref="J5:K5"/>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BA302-6255-4B0B-8FAB-28688B5D2A81}">
  <sheetPr codeName="Sheet28">
    <tabColor theme="9" tint="0.59999389629810485"/>
  </sheetPr>
  <dimension ref="B1:K58"/>
  <sheetViews>
    <sheetView showGridLines="0" workbookViewId="0">
      <selection activeCell="K8" sqref="K8"/>
    </sheetView>
  </sheetViews>
  <sheetFormatPr defaultRowHeight="14.4" x14ac:dyDescent="0.3"/>
  <cols>
    <col min="1" max="1" width="2.88671875" customWidth="1"/>
    <col min="2" max="2" width="13.109375" bestFit="1" customWidth="1"/>
    <col min="4" max="4" width="12.109375" customWidth="1"/>
    <col min="5" max="5" width="11.44140625" customWidth="1"/>
    <col min="7" max="7" width="20" customWidth="1"/>
    <col min="8" max="8" width="9.5546875" bestFit="1" customWidth="1"/>
    <col min="10" max="10" width="14.33203125" customWidth="1"/>
    <col min="11" max="11" width="11.44140625" customWidth="1"/>
  </cols>
  <sheetData>
    <row r="1" spans="2:11" ht="25.5" customHeight="1" x14ac:dyDescent="0.35">
      <c r="B1" s="17" t="s">
        <v>140</v>
      </c>
    </row>
    <row r="2" spans="2:11" ht="15" customHeight="1" x14ac:dyDescent="0.3">
      <c r="B2" s="27" t="s">
        <v>269</v>
      </c>
    </row>
    <row r="3" spans="2:11" ht="18" customHeight="1" x14ac:dyDescent="0.3"/>
    <row r="4" spans="2:11" x14ac:dyDescent="0.3">
      <c r="D4" s="3"/>
      <c r="G4" s="3"/>
      <c r="J4" s="3"/>
    </row>
    <row r="5" spans="2:11" x14ac:dyDescent="0.3">
      <c r="B5" s="7" t="s">
        <v>30</v>
      </c>
      <c r="D5" s="108" t="s">
        <v>128</v>
      </c>
      <c r="E5" s="108"/>
      <c r="G5" s="108" t="s">
        <v>130</v>
      </c>
      <c r="H5" s="108"/>
      <c r="J5" s="108" t="s">
        <v>136</v>
      </c>
      <c r="K5" s="108"/>
    </row>
    <row r="6" spans="2:11" x14ac:dyDescent="0.3">
      <c r="B6" s="12">
        <v>111000</v>
      </c>
      <c r="D6" s="19" t="s">
        <v>63</v>
      </c>
      <c r="E6" s="65">
        <f>COUNT(B6:B58)</f>
        <v>53</v>
      </c>
      <c r="G6" s="19" t="s">
        <v>131</v>
      </c>
      <c r="H6" s="76">
        <v>0.8</v>
      </c>
      <c r="J6" s="19" t="s">
        <v>137</v>
      </c>
      <c r="K6" s="74">
        <f>E7-H8</f>
        <v>106008.15937411779</v>
      </c>
    </row>
    <row r="7" spans="2:11" x14ac:dyDescent="0.3">
      <c r="B7" s="12">
        <v>107000</v>
      </c>
      <c r="D7" s="19" t="s">
        <v>41</v>
      </c>
      <c r="E7" s="74">
        <f>AVERAGE(B6:B58)</f>
        <v>119386.7924528302</v>
      </c>
      <c r="G7" s="19" t="s">
        <v>132</v>
      </c>
      <c r="H7" s="76">
        <f>1-H6</f>
        <v>0.19999999999999996</v>
      </c>
      <c r="J7" s="19" t="s">
        <v>138</v>
      </c>
      <c r="K7" s="74">
        <f>E7+H8</f>
        <v>132765.4255315426</v>
      </c>
    </row>
    <row r="8" spans="2:11" x14ac:dyDescent="0.3">
      <c r="B8" s="12">
        <v>109000</v>
      </c>
      <c r="D8" s="19"/>
      <c r="E8" s="25"/>
      <c r="G8" s="19" t="s">
        <v>139</v>
      </c>
      <c r="H8" s="74">
        <f>_xlfn.CONFIDENCE.NORM(H7,E11,E6)</f>
        <v>13378.633078712406</v>
      </c>
    </row>
    <row r="9" spans="2:11" x14ac:dyDescent="0.3">
      <c r="B9" s="12">
        <v>148000</v>
      </c>
      <c r="D9" s="108" t="s">
        <v>129</v>
      </c>
      <c r="E9" s="108"/>
    </row>
    <row r="10" spans="2:11" x14ac:dyDescent="0.3">
      <c r="B10" s="12">
        <v>255500</v>
      </c>
      <c r="D10" s="19" t="s">
        <v>41</v>
      </c>
      <c r="E10" s="74">
        <v>101000</v>
      </c>
    </row>
    <row r="11" spans="2:11" x14ac:dyDescent="0.3">
      <c r="B11" s="12">
        <v>103500</v>
      </c>
      <c r="D11" s="19" t="s">
        <v>62</v>
      </c>
      <c r="E11" s="74">
        <v>76000</v>
      </c>
      <c r="G11" s="19"/>
    </row>
    <row r="12" spans="2:11" x14ac:dyDescent="0.3">
      <c r="B12" s="12">
        <v>114500</v>
      </c>
    </row>
    <row r="13" spans="2:11" x14ac:dyDescent="0.3">
      <c r="B13" s="12">
        <v>124000</v>
      </c>
    </row>
    <row r="14" spans="2:11" x14ac:dyDescent="0.3">
      <c r="B14" s="12">
        <v>132500</v>
      </c>
    </row>
    <row r="15" spans="2:11" x14ac:dyDescent="0.3">
      <c r="B15" s="12">
        <v>99000</v>
      </c>
    </row>
    <row r="16" spans="2:11" x14ac:dyDescent="0.3">
      <c r="B16" s="12">
        <v>124000</v>
      </c>
    </row>
    <row r="17" spans="2:2" x14ac:dyDescent="0.3">
      <c r="B17" s="12">
        <v>82000</v>
      </c>
    </row>
    <row r="18" spans="2:2" x14ac:dyDescent="0.3">
      <c r="B18" s="12">
        <v>185000</v>
      </c>
    </row>
    <row r="19" spans="2:2" x14ac:dyDescent="0.3">
      <c r="B19" s="12">
        <v>89500</v>
      </c>
    </row>
    <row r="20" spans="2:2" x14ac:dyDescent="0.3">
      <c r="B20" s="12">
        <v>91500</v>
      </c>
    </row>
    <row r="21" spans="2:2" x14ac:dyDescent="0.3">
      <c r="B21" s="12">
        <v>113500</v>
      </c>
    </row>
    <row r="22" spans="2:2" x14ac:dyDescent="0.3">
      <c r="B22" s="12">
        <v>99000</v>
      </c>
    </row>
    <row r="23" spans="2:2" x14ac:dyDescent="0.3">
      <c r="B23" s="12">
        <v>75500</v>
      </c>
    </row>
    <row r="24" spans="2:2" x14ac:dyDescent="0.3">
      <c r="B24" s="12">
        <v>86000</v>
      </c>
    </row>
    <row r="25" spans="2:2" x14ac:dyDescent="0.3">
      <c r="B25" s="12">
        <v>156500</v>
      </c>
    </row>
    <row r="26" spans="2:2" x14ac:dyDescent="0.3">
      <c r="B26" s="12">
        <v>99500</v>
      </c>
    </row>
    <row r="27" spans="2:2" x14ac:dyDescent="0.3">
      <c r="B27" s="12">
        <v>148000</v>
      </c>
    </row>
    <row r="28" spans="2:2" x14ac:dyDescent="0.3">
      <c r="B28" s="12">
        <v>82000</v>
      </c>
    </row>
    <row r="29" spans="2:2" x14ac:dyDescent="0.3">
      <c r="B29" s="12">
        <v>103500</v>
      </c>
    </row>
    <row r="30" spans="2:2" x14ac:dyDescent="0.3">
      <c r="B30" s="12">
        <v>205500</v>
      </c>
    </row>
    <row r="31" spans="2:2" x14ac:dyDescent="0.3">
      <c r="B31" s="12">
        <v>103500</v>
      </c>
    </row>
    <row r="32" spans="2:2" x14ac:dyDescent="0.3">
      <c r="B32" s="12">
        <v>340000</v>
      </c>
    </row>
    <row r="33" spans="2:2" x14ac:dyDescent="0.3">
      <c r="B33" s="12">
        <v>103500</v>
      </c>
    </row>
    <row r="34" spans="2:2" x14ac:dyDescent="0.3">
      <c r="B34" s="12">
        <v>99500</v>
      </c>
    </row>
    <row r="35" spans="2:2" x14ac:dyDescent="0.3">
      <c r="B35" s="12">
        <v>103000</v>
      </c>
    </row>
    <row r="36" spans="2:2" x14ac:dyDescent="0.3">
      <c r="B36" s="12">
        <v>103500</v>
      </c>
    </row>
    <row r="37" spans="2:2" x14ac:dyDescent="0.3">
      <c r="B37" s="12">
        <v>165000</v>
      </c>
    </row>
    <row r="38" spans="2:2" x14ac:dyDescent="0.3">
      <c r="B38" s="12">
        <v>124500</v>
      </c>
    </row>
    <row r="39" spans="2:2" x14ac:dyDescent="0.3">
      <c r="B39" s="12">
        <v>103500</v>
      </c>
    </row>
    <row r="40" spans="2:2" x14ac:dyDescent="0.3">
      <c r="B40" s="12">
        <v>82500</v>
      </c>
    </row>
    <row r="41" spans="2:2" x14ac:dyDescent="0.3">
      <c r="B41" s="12">
        <v>93000</v>
      </c>
    </row>
    <row r="42" spans="2:2" x14ac:dyDescent="0.3">
      <c r="B42" s="12">
        <v>168000</v>
      </c>
    </row>
    <row r="43" spans="2:2" x14ac:dyDescent="0.3">
      <c r="B43" s="12">
        <v>96000</v>
      </c>
    </row>
    <row r="44" spans="2:2" x14ac:dyDescent="0.3">
      <c r="B44" s="12">
        <v>80000</v>
      </c>
    </row>
    <row r="45" spans="2:2" x14ac:dyDescent="0.3">
      <c r="B45" s="12">
        <v>124500</v>
      </c>
    </row>
    <row r="46" spans="2:2" x14ac:dyDescent="0.3">
      <c r="B46" s="12">
        <v>99000</v>
      </c>
    </row>
    <row r="47" spans="2:2" x14ac:dyDescent="0.3">
      <c r="B47" s="12">
        <v>124000</v>
      </c>
    </row>
    <row r="48" spans="2:2" x14ac:dyDescent="0.3">
      <c r="B48" s="12">
        <v>91500</v>
      </c>
    </row>
    <row r="49" spans="2:2" x14ac:dyDescent="0.3">
      <c r="B49" s="12">
        <v>144500</v>
      </c>
    </row>
    <row r="50" spans="2:2" x14ac:dyDescent="0.3">
      <c r="B50" s="12">
        <v>114500</v>
      </c>
    </row>
    <row r="51" spans="2:2" x14ac:dyDescent="0.3">
      <c r="B51" s="12">
        <v>104500</v>
      </c>
    </row>
    <row r="52" spans="2:2" x14ac:dyDescent="0.3">
      <c r="B52" s="12">
        <v>124000</v>
      </c>
    </row>
    <row r="53" spans="2:2" x14ac:dyDescent="0.3">
      <c r="B53" s="12">
        <v>113000</v>
      </c>
    </row>
    <row r="54" spans="2:2" x14ac:dyDescent="0.3">
      <c r="B54" s="12">
        <v>78000</v>
      </c>
    </row>
    <row r="55" spans="2:2" x14ac:dyDescent="0.3">
      <c r="B55" s="12">
        <v>109000</v>
      </c>
    </row>
    <row r="56" spans="2:2" x14ac:dyDescent="0.3">
      <c r="B56" s="12">
        <v>99500</v>
      </c>
    </row>
    <row r="57" spans="2:2" x14ac:dyDescent="0.3">
      <c r="B57" s="12">
        <v>107000</v>
      </c>
    </row>
    <row r="58" spans="2:2" x14ac:dyDescent="0.3">
      <c r="B58" s="12">
        <v>84000</v>
      </c>
    </row>
  </sheetData>
  <mergeCells count="4">
    <mergeCell ref="D5:E5"/>
    <mergeCell ref="G5:H5"/>
    <mergeCell ref="J5:K5"/>
    <mergeCell ref="D9:E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8918B-A2D2-48EA-A229-EB4A2B548471}">
  <sheetPr codeName="Sheet29">
    <tabColor theme="9" tint="0.79998168889431442"/>
  </sheetPr>
  <dimension ref="B1:K100"/>
  <sheetViews>
    <sheetView showGridLines="0" workbookViewId="0">
      <selection activeCell="K8" sqref="K8"/>
    </sheetView>
  </sheetViews>
  <sheetFormatPr defaultRowHeight="14.4" x14ac:dyDescent="0.3"/>
  <cols>
    <col min="1" max="1" width="2.88671875" customWidth="1"/>
    <col min="2" max="2" width="19.33203125" bestFit="1" customWidth="1"/>
    <col min="4" max="4" width="12.109375" customWidth="1"/>
    <col min="5" max="5" width="11.44140625" customWidth="1"/>
    <col min="7" max="7" width="20" customWidth="1"/>
    <col min="8" max="8" width="9.5546875" bestFit="1" customWidth="1"/>
    <col min="10" max="10" width="14.33203125" customWidth="1"/>
    <col min="11" max="11" width="11.44140625" customWidth="1"/>
  </cols>
  <sheetData>
    <row r="1" spans="2:11" ht="25.5" customHeight="1" x14ac:dyDescent="0.35">
      <c r="B1" s="17" t="s">
        <v>134</v>
      </c>
    </row>
    <row r="2" spans="2:11" ht="15" customHeight="1" x14ac:dyDescent="0.3">
      <c r="B2" s="27" t="s">
        <v>270</v>
      </c>
    </row>
    <row r="3" spans="2:11" ht="18" customHeight="1" x14ac:dyDescent="0.3"/>
    <row r="4" spans="2:11" x14ac:dyDescent="0.3">
      <c r="D4" s="3"/>
      <c r="G4" s="3"/>
      <c r="J4" s="3"/>
    </row>
    <row r="5" spans="2:11" x14ac:dyDescent="0.3">
      <c r="B5" s="7" t="s">
        <v>22</v>
      </c>
      <c r="D5" s="108" t="s">
        <v>128</v>
      </c>
      <c r="E5" s="108"/>
      <c r="G5" s="108" t="s">
        <v>130</v>
      </c>
      <c r="H5" s="108"/>
      <c r="J5" s="108" t="s">
        <v>136</v>
      </c>
      <c r="K5" s="108"/>
    </row>
    <row r="6" spans="2:11" x14ac:dyDescent="0.3">
      <c r="B6" s="8">
        <v>276</v>
      </c>
      <c r="D6" s="19" t="s">
        <v>63</v>
      </c>
      <c r="E6" s="65">
        <f>COUNT(B6:B100)</f>
        <v>95</v>
      </c>
      <c r="G6" s="19" t="s">
        <v>131</v>
      </c>
      <c r="H6" s="76">
        <v>0.9</v>
      </c>
      <c r="J6" s="19" t="s">
        <v>137</v>
      </c>
      <c r="K6" s="69">
        <f>E7-H11</f>
        <v>273.40781140085119</v>
      </c>
    </row>
    <row r="7" spans="2:11" x14ac:dyDescent="0.3">
      <c r="B7" s="8">
        <v>410</v>
      </c>
      <c r="D7" s="19" t="s">
        <v>41</v>
      </c>
      <c r="E7" s="66">
        <f>AVERAGE(B6:B100)</f>
        <v>289.34736842105264</v>
      </c>
      <c r="G7" s="19" t="s">
        <v>132</v>
      </c>
      <c r="H7" s="76">
        <f>1-H6</f>
        <v>9.9999999999999978E-2</v>
      </c>
      <c r="J7" s="19" t="s">
        <v>138</v>
      </c>
      <c r="K7" s="69">
        <f>E7+H11</f>
        <v>305.28692544125408</v>
      </c>
    </row>
    <row r="8" spans="2:11" x14ac:dyDescent="0.3">
      <c r="B8" s="8">
        <v>119</v>
      </c>
      <c r="D8" s="19" t="s">
        <v>62</v>
      </c>
      <c r="E8" s="69">
        <f>_xlfn.STDEV.S(B6:B100)</f>
        <v>93.521048765238149</v>
      </c>
      <c r="G8" s="19" t="s">
        <v>133</v>
      </c>
      <c r="H8" s="79">
        <f>H7/2</f>
        <v>4.9999999999999989E-2</v>
      </c>
    </row>
    <row r="9" spans="2:11" x14ac:dyDescent="0.3">
      <c r="B9" s="8">
        <v>334</v>
      </c>
      <c r="G9" s="19" t="s">
        <v>144</v>
      </c>
      <c r="H9" s="80">
        <f>_xlfn.T.INV(1-H8,E6-1)</f>
        <v>1.6612258552965111</v>
      </c>
    </row>
    <row r="10" spans="2:11" x14ac:dyDescent="0.3">
      <c r="B10" s="8">
        <v>252</v>
      </c>
      <c r="G10" s="19" t="s">
        <v>135</v>
      </c>
      <c r="H10" s="69">
        <f>E8/SQRT(E6)</f>
        <v>9.5950571497434378</v>
      </c>
    </row>
    <row r="11" spans="2:11" x14ac:dyDescent="0.3">
      <c r="B11" s="8">
        <v>209</v>
      </c>
      <c r="G11" s="19" t="s">
        <v>139</v>
      </c>
      <c r="H11" s="69">
        <f>H9*H10</f>
        <v>15.939557020201446</v>
      </c>
    </row>
    <row r="12" spans="2:11" x14ac:dyDescent="0.3">
      <c r="B12" s="8">
        <v>462</v>
      </c>
    </row>
    <row r="13" spans="2:11" x14ac:dyDescent="0.3">
      <c r="B13" s="8">
        <v>342</v>
      </c>
    </row>
    <row r="14" spans="2:11" x14ac:dyDescent="0.3">
      <c r="B14" s="8">
        <v>347</v>
      </c>
    </row>
    <row r="15" spans="2:11" x14ac:dyDescent="0.3">
      <c r="B15" s="8">
        <v>313</v>
      </c>
    </row>
    <row r="16" spans="2:11" x14ac:dyDescent="0.3">
      <c r="B16" s="8">
        <v>232</v>
      </c>
    </row>
    <row r="17" spans="2:2" x14ac:dyDescent="0.3">
      <c r="B17" s="8">
        <v>163</v>
      </c>
    </row>
    <row r="18" spans="2:2" x14ac:dyDescent="0.3">
      <c r="B18" s="8">
        <v>119</v>
      </c>
    </row>
    <row r="19" spans="2:2" x14ac:dyDescent="0.3">
      <c r="B19" s="8">
        <v>304</v>
      </c>
    </row>
    <row r="20" spans="2:2" x14ac:dyDescent="0.3">
      <c r="B20" s="8">
        <v>211</v>
      </c>
    </row>
    <row r="21" spans="2:2" x14ac:dyDescent="0.3">
      <c r="B21" s="8">
        <v>286</v>
      </c>
    </row>
    <row r="22" spans="2:2" x14ac:dyDescent="0.3">
      <c r="B22" s="8">
        <v>122</v>
      </c>
    </row>
    <row r="23" spans="2:2" x14ac:dyDescent="0.3">
      <c r="B23" s="8">
        <v>443</v>
      </c>
    </row>
    <row r="24" spans="2:2" x14ac:dyDescent="0.3">
      <c r="B24" s="8">
        <v>366</v>
      </c>
    </row>
    <row r="25" spans="2:2" x14ac:dyDescent="0.3">
      <c r="B25" s="8">
        <v>244</v>
      </c>
    </row>
    <row r="26" spans="2:2" x14ac:dyDescent="0.3">
      <c r="B26" s="8">
        <v>241</v>
      </c>
    </row>
    <row r="27" spans="2:2" x14ac:dyDescent="0.3">
      <c r="B27" s="8">
        <v>237</v>
      </c>
    </row>
    <row r="28" spans="2:2" x14ac:dyDescent="0.3">
      <c r="B28" s="8">
        <v>122</v>
      </c>
    </row>
    <row r="29" spans="2:2" x14ac:dyDescent="0.3">
      <c r="B29" s="8">
        <v>129</v>
      </c>
    </row>
    <row r="30" spans="2:2" x14ac:dyDescent="0.3">
      <c r="B30" s="8">
        <v>236</v>
      </c>
    </row>
    <row r="31" spans="2:2" x14ac:dyDescent="0.3">
      <c r="B31" s="8">
        <v>251</v>
      </c>
    </row>
    <row r="32" spans="2:2" x14ac:dyDescent="0.3">
      <c r="B32" s="8">
        <v>283</v>
      </c>
    </row>
    <row r="33" spans="2:2" x14ac:dyDescent="0.3">
      <c r="B33" s="8">
        <v>225</v>
      </c>
    </row>
    <row r="34" spans="2:2" x14ac:dyDescent="0.3">
      <c r="B34" s="8">
        <v>102</v>
      </c>
    </row>
    <row r="35" spans="2:2" x14ac:dyDescent="0.3">
      <c r="B35" s="8">
        <v>180</v>
      </c>
    </row>
    <row r="36" spans="2:2" x14ac:dyDescent="0.3">
      <c r="B36" s="8">
        <v>247</v>
      </c>
    </row>
    <row r="37" spans="2:2" x14ac:dyDescent="0.3">
      <c r="B37" s="8">
        <v>343</v>
      </c>
    </row>
    <row r="38" spans="2:2" x14ac:dyDescent="0.3">
      <c r="B38" s="8">
        <v>283</v>
      </c>
    </row>
    <row r="39" spans="2:2" x14ac:dyDescent="0.3">
      <c r="B39" s="8">
        <v>253</v>
      </c>
    </row>
    <row r="40" spans="2:2" x14ac:dyDescent="0.3">
      <c r="B40" s="8">
        <v>263</v>
      </c>
    </row>
    <row r="41" spans="2:2" x14ac:dyDescent="0.3">
      <c r="B41" s="8">
        <v>291</v>
      </c>
    </row>
    <row r="42" spans="2:2" x14ac:dyDescent="0.3">
      <c r="B42" s="8">
        <v>368</v>
      </c>
    </row>
    <row r="43" spans="2:2" x14ac:dyDescent="0.3">
      <c r="B43" s="8">
        <v>206</v>
      </c>
    </row>
    <row r="44" spans="2:2" x14ac:dyDescent="0.3">
      <c r="B44" s="8">
        <v>231</v>
      </c>
    </row>
    <row r="45" spans="2:2" x14ac:dyDescent="0.3">
      <c r="B45" s="8">
        <v>389</v>
      </c>
    </row>
    <row r="46" spans="2:2" x14ac:dyDescent="0.3">
      <c r="B46" s="8">
        <v>396</v>
      </c>
    </row>
    <row r="47" spans="2:2" x14ac:dyDescent="0.3">
      <c r="B47" s="8">
        <v>339</v>
      </c>
    </row>
    <row r="48" spans="2:2" x14ac:dyDescent="0.3">
      <c r="B48" s="8">
        <v>286</v>
      </c>
    </row>
    <row r="49" spans="2:2" x14ac:dyDescent="0.3">
      <c r="B49" s="8">
        <v>146</v>
      </c>
    </row>
    <row r="50" spans="2:2" x14ac:dyDescent="0.3">
      <c r="B50" s="8">
        <v>315</v>
      </c>
    </row>
    <row r="51" spans="2:2" x14ac:dyDescent="0.3">
      <c r="B51" s="8">
        <v>183</v>
      </c>
    </row>
    <row r="52" spans="2:2" x14ac:dyDescent="0.3">
      <c r="B52" s="8">
        <v>481</v>
      </c>
    </row>
    <row r="53" spans="2:2" x14ac:dyDescent="0.3">
      <c r="B53" s="8">
        <v>349</v>
      </c>
    </row>
    <row r="54" spans="2:2" x14ac:dyDescent="0.3">
      <c r="B54" s="8">
        <v>225</v>
      </c>
    </row>
    <row r="55" spans="2:2" x14ac:dyDescent="0.3">
      <c r="B55" s="8">
        <v>217</v>
      </c>
    </row>
    <row r="56" spans="2:2" x14ac:dyDescent="0.3">
      <c r="B56" s="8">
        <v>353</v>
      </c>
    </row>
    <row r="57" spans="2:2" x14ac:dyDescent="0.3">
      <c r="B57" s="8">
        <v>314</v>
      </c>
    </row>
    <row r="58" spans="2:2" x14ac:dyDescent="0.3">
      <c r="B58" s="8">
        <v>247</v>
      </c>
    </row>
    <row r="59" spans="2:2" x14ac:dyDescent="0.3">
      <c r="B59" s="8">
        <v>410</v>
      </c>
    </row>
    <row r="60" spans="2:2" x14ac:dyDescent="0.3">
      <c r="B60" s="8">
        <v>395</v>
      </c>
    </row>
    <row r="61" spans="2:2" x14ac:dyDescent="0.3">
      <c r="B61" s="8">
        <v>416</v>
      </c>
    </row>
    <row r="62" spans="2:2" x14ac:dyDescent="0.3">
      <c r="B62" s="8">
        <v>342</v>
      </c>
    </row>
    <row r="63" spans="2:2" x14ac:dyDescent="0.3">
      <c r="B63" s="8">
        <v>446</v>
      </c>
    </row>
    <row r="64" spans="2:2" x14ac:dyDescent="0.3">
      <c r="B64" s="8">
        <v>477</v>
      </c>
    </row>
    <row r="65" spans="2:2" x14ac:dyDescent="0.3">
      <c r="B65" s="8">
        <v>444</v>
      </c>
    </row>
    <row r="66" spans="2:2" x14ac:dyDescent="0.3">
      <c r="B66" s="8">
        <v>351</v>
      </c>
    </row>
    <row r="67" spans="2:2" x14ac:dyDescent="0.3">
      <c r="B67" s="8">
        <v>165</v>
      </c>
    </row>
    <row r="68" spans="2:2" x14ac:dyDescent="0.3">
      <c r="B68" s="8">
        <v>317</v>
      </c>
    </row>
    <row r="69" spans="2:2" x14ac:dyDescent="0.3">
      <c r="B69" s="8">
        <v>250</v>
      </c>
    </row>
    <row r="70" spans="2:2" x14ac:dyDescent="0.3">
      <c r="B70" s="8">
        <v>217</v>
      </c>
    </row>
    <row r="71" spans="2:2" x14ac:dyDescent="0.3">
      <c r="B71" s="8">
        <v>138</v>
      </c>
    </row>
    <row r="72" spans="2:2" x14ac:dyDescent="0.3">
      <c r="B72" s="8">
        <v>302</v>
      </c>
    </row>
    <row r="73" spans="2:2" x14ac:dyDescent="0.3">
      <c r="B73" s="8">
        <v>311</v>
      </c>
    </row>
    <row r="74" spans="2:2" x14ac:dyDescent="0.3">
      <c r="B74" s="8">
        <v>373</v>
      </c>
    </row>
    <row r="75" spans="2:2" x14ac:dyDescent="0.3">
      <c r="B75" s="8">
        <v>196</v>
      </c>
    </row>
    <row r="76" spans="2:2" x14ac:dyDescent="0.3">
      <c r="B76" s="8">
        <v>306</v>
      </c>
    </row>
    <row r="77" spans="2:2" x14ac:dyDescent="0.3">
      <c r="B77" s="8">
        <v>302</v>
      </c>
    </row>
    <row r="78" spans="2:2" x14ac:dyDescent="0.3">
      <c r="B78" s="8">
        <v>278</v>
      </c>
    </row>
    <row r="79" spans="2:2" x14ac:dyDescent="0.3">
      <c r="B79" s="8">
        <v>429</v>
      </c>
    </row>
    <row r="80" spans="2:2" x14ac:dyDescent="0.3">
      <c r="B80" s="8">
        <v>338</v>
      </c>
    </row>
    <row r="81" spans="2:2" x14ac:dyDescent="0.3">
      <c r="B81" s="8">
        <v>261</v>
      </c>
    </row>
    <row r="82" spans="2:2" x14ac:dyDescent="0.3">
      <c r="B82" s="8">
        <v>256</v>
      </c>
    </row>
    <row r="83" spans="2:2" x14ac:dyDescent="0.3">
      <c r="B83" s="8">
        <v>183</v>
      </c>
    </row>
    <row r="84" spans="2:2" x14ac:dyDescent="0.3">
      <c r="B84" s="8">
        <v>274</v>
      </c>
    </row>
    <row r="85" spans="2:2" x14ac:dyDescent="0.3">
      <c r="B85" s="8">
        <v>182</v>
      </c>
    </row>
    <row r="86" spans="2:2" x14ac:dyDescent="0.3">
      <c r="B86" s="8">
        <v>183</v>
      </c>
    </row>
    <row r="87" spans="2:2" x14ac:dyDescent="0.3">
      <c r="B87" s="8">
        <v>309</v>
      </c>
    </row>
    <row r="88" spans="2:2" x14ac:dyDescent="0.3">
      <c r="B88" s="8">
        <v>178</v>
      </c>
    </row>
    <row r="89" spans="2:2" x14ac:dyDescent="0.3">
      <c r="B89" s="8">
        <v>458</v>
      </c>
    </row>
    <row r="90" spans="2:2" x14ac:dyDescent="0.3">
      <c r="B90" s="8">
        <v>234</v>
      </c>
    </row>
    <row r="91" spans="2:2" x14ac:dyDescent="0.3">
      <c r="B91" s="8">
        <v>306</v>
      </c>
    </row>
    <row r="92" spans="2:2" x14ac:dyDescent="0.3">
      <c r="B92" s="8">
        <v>400</v>
      </c>
    </row>
    <row r="93" spans="2:2" x14ac:dyDescent="0.3">
      <c r="B93" s="8">
        <v>337</v>
      </c>
    </row>
    <row r="94" spans="2:2" x14ac:dyDescent="0.3">
      <c r="B94" s="8">
        <v>325</v>
      </c>
    </row>
    <row r="95" spans="2:2" x14ac:dyDescent="0.3">
      <c r="B95" s="8">
        <v>329</v>
      </c>
    </row>
    <row r="96" spans="2:2" x14ac:dyDescent="0.3">
      <c r="B96" s="8">
        <v>369</v>
      </c>
    </row>
    <row r="97" spans="2:2" x14ac:dyDescent="0.3">
      <c r="B97" s="8">
        <v>457</v>
      </c>
    </row>
    <row r="98" spans="2:2" x14ac:dyDescent="0.3">
      <c r="B98" s="8">
        <v>421</v>
      </c>
    </row>
    <row r="99" spans="2:2" x14ac:dyDescent="0.3">
      <c r="B99" s="8">
        <v>282</v>
      </c>
    </row>
    <row r="100" spans="2:2" x14ac:dyDescent="0.3">
      <c r="B100" s="8">
        <v>256</v>
      </c>
    </row>
  </sheetData>
  <mergeCells count="3">
    <mergeCell ref="D5:E5"/>
    <mergeCell ref="G5:H5"/>
    <mergeCell ref="J5:K5"/>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9CD96-16AC-4765-B570-B851574A1BDC}">
  <sheetPr codeName="Sheet30">
    <tabColor theme="9" tint="0.59999389629810485"/>
  </sheetPr>
  <dimension ref="B1:K58"/>
  <sheetViews>
    <sheetView showGridLines="0" workbookViewId="0">
      <selection activeCell="K8" sqref="K8"/>
    </sheetView>
  </sheetViews>
  <sheetFormatPr defaultRowHeight="14.4" x14ac:dyDescent="0.3"/>
  <cols>
    <col min="1" max="1" width="2.88671875" customWidth="1"/>
    <col min="2" max="2" width="13.109375" bestFit="1" customWidth="1"/>
    <col min="4" max="4" width="12.109375" customWidth="1"/>
    <col min="5" max="5" width="11.44140625" customWidth="1"/>
    <col min="7" max="7" width="20" customWidth="1"/>
    <col min="8" max="8" width="9.5546875" bestFit="1" customWidth="1"/>
    <col min="10" max="10" width="14.33203125" customWidth="1"/>
    <col min="11" max="11" width="11.44140625" customWidth="1"/>
  </cols>
  <sheetData>
    <row r="1" spans="2:11" ht="25.5" customHeight="1" x14ac:dyDescent="0.35">
      <c r="B1" s="17" t="s">
        <v>140</v>
      </c>
    </row>
    <row r="2" spans="2:11" ht="15" customHeight="1" x14ac:dyDescent="0.3">
      <c r="B2" s="27" t="s">
        <v>270</v>
      </c>
    </row>
    <row r="3" spans="2:11" ht="18" customHeight="1" x14ac:dyDescent="0.3"/>
    <row r="4" spans="2:11" x14ac:dyDescent="0.3">
      <c r="D4" s="3"/>
      <c r="G4" s="3"/>
      <c r="J4" s="3"/>
    </row>
    <row r="5" spans="2:11" x14ac:dyDescent="0.3">
      <c r="B5" s="7" t="s">
        <v>30</v>
      </c>
      <c r="D5" s="108" t="s">
        <v>128</v>
      </c>
      <c r="E5" s="108"/>
      <c r="G5" s="108" t="s">
        <v>130</v>
      </c>
      <c r="H5" s="108"/>
      <c r="J5" s="108" t="s">
        <v>136</v>
      </c>
      <c r="K5" s="108"/>
    </row>
    <row r="6" spans="2:11" x14ac:dyDescent="0.3">
      <c r="B6" s="12">
        <v>111000</v>
      </c>
      <c r="D6" s="19" t="s">
        <v>63</v>
      </c>
      <c r="E6" s="65">
        <f>COUNT(B6:B58)</f>
        <v>53</v>
      </c>
      <c r="G6" s="19" t="s">
        <v>131</v>
      </c>
      <c r="H6" s="76">
        <v>0.8</v>
      </c>
      <c r="J6" s="19" t="s">
        <v>137</v>
      </c>
      <c r="K6" s="74">
        <f>E7-H8</f>
        <v>111265.76090747744</v>
      </c>
    </row>
    <row r="7" spans="2:11" x14ac:dyDescent="0.3">
      <c r="B7" s="12">
        <v>107000</v>
      </c>
      <c r="D7" s="19" t="s">
        <v>41</v>
      </c>
      <c r="E7" s="74">
        <f>AVERAGE(B6:B58)</f>
        <v>119386.7924528302</v>
      </c>
      <c r="G7" s="19" t="s">
        <v>132</v>
      </c>
      <c r="H7" s="76">
        <f>1-H6</f>
        <v>0.19999999999999996</v>
      </c>
      <c r="J7" s="19" t="s">
        <v>138</v>
      </c>
      <c r="K7" s="74">
        <f>E7+H8</f>
        <v>127507.82399818295</v>
      </c>
    </row>
    <row r="8" spans="2:11" x14ac:dyDescent="0.3">
      <c r="B8" s="12">
        <v>109000</v>
      </c>
      <c r="D8" s="19" t="s">
        <v>62</v>
      </c>
      <c r="E8" s="74">
        <f>_xlfn.STDEV.S(B6:B58)</f>
        <v>45546.958176470725</v>
      </c>
      <c r="G8" s="19" t="s">
        <v>139</v>
      </c>
      <c r="H8" s="74">
        <f>_xlfn.CONFIDENCE.T(H7,E8,E6)</f>
        <v>8121.0315453527564</v>
      </c>
    </row>
    <row r="9" spans="2:11" x14ac:dyDescent="0.3">
      <c r="B9" s="12">
        <v>148000</v>
      </c>
    </row>
    <row r="10" spans="2:11" x14ac:dyDescent="0.3">
      <c r="B10" s="12">
        <v>255500</v>
      </c>
      <c r="H10" s="92"/>
    </row>
    <row r="11" spans="2:11" x14ac:dyDescent="0.3">
      <c r="B11" s="12">
        <v>103500</v>
      </c>
      <c r="G11" s="19"/>
    </row>
    <row r="12" spans="2:11" x14ac:dyDescent="0.3">
      <c r="B12" s="12">
        <v>114500</v>
      </c>
    </row>
    <row r="13" spans="2:11" x14ac:dyDescent="0.3">
      <c r="B13" s="12">
        <v>124000</v>
      </c>
    </row>
    <row r="14" spans="2:11" x14ac:dyDescent="0.3">
      <c r="B14" s="12">
        <v>132500</v>
      </c>
    </row>
    <row r="15" spans="2:11" x14ac:dyDescent="0.3">
      <c r="B15" s="12">
        <v>99000</v>
      </c>
    </row>
    <row r="16" spans="2:11" x14ac:dyDescent="0.3">
      <c r="B16" s="12">
        <v>124000</v>
      </c>
    </row>
    <row r="17" spans="2:2" x14ac:dyDescent="0.3">
      <c r="B17" s="12">
        <v>82000</v>
      </c>
    </row>
    <row r="18" spans="2:2" x14ac:dyDescent="0.3">
      <c r="B18" s="12">
        <v>185000</v>
      </c>
    </row>
    <row r="19" spans="2:2" x14ac:dyDescent="0.3">
      <c r="B19" s="12">
        <v>89500</v>
      </c>
    </row>
    <row r="20" spans="2:2" x14ac:dyDescent="0.3">
      <c r="B20" s="12">
        <v>91500</v>
      </c>
    </row>
    <row r="21" spans="2:2" x14ac:dyDescent="0.3">
      <c r="B21" s="12">
        <v>113500</v>
      </c>
    </row>
    <row r="22" spans="2:2" x14ac:dyDescent="0.3">
      <c r="B22" s="12">
        <v>99000</v>
      </c>
    </row>
    <row r="23" spans="2:2" x14ac:dyDescent="0.3">
      <c r="B23" s="12">
        <v>75500</v>
      </c>
    </row>
    <row r="24" spans="2:2" x14ac:dyDescent="0.3">
      <c r="B24" s="12">
        <v>86000</v>
      </c>
    </row>
    <row r="25" spans="2:2" x14ac:dyDescent="0.3">
      <c r="B25" s="12">
        <v>156500</v>
      </c>
    </row>
    <row r="26" spans="2:2" x14ac:dyDescent="0.3">
      <c r="B26" s="12">
        <v>99500</v>
      </c>
    </row>
    <row r="27" spans="2:2" x14ac:dyDescent="0.3">
      <c r="B27" s="12">
        <v>148000</v>
      </c>
    </row>
    <row r="28" spans="2:2" x14ac:dyDescent="0.3">
      <c r="B28" s="12">
        <v>82000</v>
      </c>
    </row>
    <row r="29" spans="2:2" x14ac:dyDescent="0.3">
      <c r="B29" s="12">
        <v>103500</v>
      </c>
    </row>
    <row r="30" spans="2:2" x14ac:dyDescent="0.3">
      <c r="B30" s="12">
        <v>205500</v>
      </c>
    </row>
    <row r="31" spans="2:2" x14ac:dyDescent="0.3">
      <c r="B31" s="12">
        <v>103500</v>
      </c>
    </row>
    <row r="32" spans="2:2" x14ac:dyDescent="0.3">
      <c r="B32" s="12">
        <v>340000</v>
      </c>
    </row>
    <row r="33" spans="2:2" x14ac:dyDescent="0.3">
      <c r="B33" s="12">
        <v>103500</v>
      </c>
    </row>
    <row r="34" spans="2:2" x14ac:dyDescent="0.3">
      <c r="B34" s="12">
        <v>99500</v>
      </c>
    </row>
    <row r="35" spans="2:2" x14ac:dyDescent="0.3">
      <c r="B35" s="12">
        <v>103000</v>
      </c>
    </row>
    <row r="36" spans="2:2" x14ac:dyDescent="0.3">
      <c r="B36" s="12">
        <v>103500</v>
      </c>
    </row>
    <row r="37" spans="2:2" x14ac:dyDescent="0.3">
      <c r="B37" s="12">
        <v>165000</v>
      </c>
    </row>
    <row r="38" spans="2:2" x14ac:dyDescent="0.3">
      <c r="B38" s="12">
        <v>124500</v>
      </c>
    </row>
    <row r="39" spans="2:2" x14ac:dyDescent="0.3">
      <c r="B39" s="12">
        <v>103500</v>
      </c>
    </row>
    <row r="40" spans="2:2" x14ac:dyDescent="0.3">
      <c r="B40" s="12">
        <v>82500</v>
      </c>
    </row>
    <row r="41" spans="2:2" x14ac:dyDescent="0.3">
      <c r="B41" s="12">
        <v>93000</v>
      </c>
    </row>
    <row r="42" spans="2:2" x14ac:dyDescent="0.3">
      <c r="B42" s="12">
        <v>168000</v>
      </c>
    </row>
    <row r="43" spans="2:2" x14ac:dyDescent="0.3">
      <c r="B43" s="12">
        <v>96000</v>
      </c>
    </row>
    <row r="44" spans="2:2" x14ac:dyDescent="0.3">
      <c r="B44" s="12">
        <v>80000</v>
      </c>
    </row>
    <row r="45" spans="2:2" x14ac:dyDescent="0.3">
      <c r="B45" s="12">
        <v>124500</v>
      </c>
    </row>
    <row r="46" spans="2:2" x14ac:dyDescent="0.3">
      <c r="B46" s="12">
        <v>99000</v>
      </c>
    </row>
    <row r="47" spans="2:2" x14ac:dyDescent="0.3">
      <c r="B47" s="12">
        <v>124000</v>
      </c>
    </row>
    <row r="48" spans="2:2" x14ac:dyDescent="0.3">
      <c r="B48" s="12">
        <v>91500</v>
      </c>
    </row>
    <row r="49" spans="2:2" x14ac:dyDescent="0.3">
      <c r="B49" s="12">
        <v>144500</v>
      </c>
    </row>
    <row r="50" spans="2:2" x14ac:dyDescent="0.3">
      <c r="B50" s="12">
        <v>114500</v>
      </c>
    </row>
    <row r="51" spans="2:2" x14ac:dyDescent="0.3">
      <c r="B51" s="12">
        <v>104500</v>
      </c>
    </row>
    <row r="52" spans="2:2" x14ac:dyDescent="0.3">
      <c r="B52" s="12">
        <v>124000</v>
      </c>
    </row>
    <row r="53" spans="2:2" x14ac:dyDescent="0.3">
      <c r="B53" s="12">
        <v>113000</v>
      </c>
    </row>
    <row r="54" spans="2:2" x14ac:dyDescent="0.3">
      <c r="B54" s="12">
        <v>78000</v>
      </c>
    </row>
    <row r="55" spans="2:2" x14ac:dyDescent="0.3">
      <c r="B55" s="12">
        <v>109000</v>
      </c>
    </row>
    <row r="56" spans="2:2" x14ac:dyDescent="0.3">
      <c r="B56" s="12">
        <v>99500</v>
      </c>
    </row>
    <row r="57" spans="2:2" x14ac:dyDescent="0.3">
      <c r="B57" s="12">
        <v>107000</v>
      </c>
    </row>
    <row r="58" spans="2:2" x14ac:dyDescent="0.3">
      <c r="B58" s="12">
        <v>84000</v>
      </c>
    </row>
  </sheetData>
  <mergeCells count="3">
    <mergeCell ref="D5:E5"/>
    <mergeCell ref="G5:H5"/>
    <mergeCell ref="J5:K5"/>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A78A-9F6B-45C7-B050-FAD1CFABC2C5}">
  <sheetPr codeName="Sheet31">
    <tabColor theme="9" tint="0.79998168889431442"/>
  </sheetPr>
  <dimension ref="B1:K100"/>
  <sheetViews>
    <sheetView showGridLines="0" workbookViewId="0">
      <selection activeCell="K8" sqref="K8"/>
    </sheetView>
  </sheetViews>
  <sheetFormatPr defaultRowHeight="14.4" x14ac:dyDescent="0.3"/>
  <cols>
    <col min="1" max="1" width="2.88671875" customWidth="1"/>
    <col min="2" max="2" width="17" customWidth="1"/>
    <col min="4" max="4" width="12.88671875" customWidth="1"/>
    <col min="5" max="5" width="11.44140625" customWidth="1"/>
    <col min="7" max="7" width="20" customWidth="1"/>
    <col min="8" max="8" width="9.5546875" bestFit="1" customWidth="1"/>
    <col min="10" max="10" width="14.33203125" customWidth="1"/>
    <col min="11" max="11" width="11.44140625" customWidth="1"/>
  </cols>
  <sheetData>
    <row r="1" spans="2:11" ht="25.5" customHeight="1" x14ac:dyDescent="0.35">
      <c r="B1" s="35" t="s">
        <v>148</v>
      </c>
    </row>
    <row r="2" spans="2:11" ht="15" customHeight="1" x14ac:dyDescent="0.3">
      <c r="B2" s="27" t="s">
        <v>149</v>
      </c>
    </row>
    <row r="3" spans="2:11" ht="18" customHeight="1" x14ac:dyDescent="0.3"/>
    <row r="4" spans="2:11" x14ac:dyDescent="0.3">
      <c r="D4" s="3"/>
      <c r="G4" s="3"/>
      <c r="J4" s="3"/>
    </row>
    <row r="5" spans="2:11" x14ac:dyDescent="0.3">
      <c r="B5" s="7" t="s">
        <v>20</v>
      </c>
      <c r="D5" s="108" t="s">
        <v>128</v>
      </c>
      <c r="E5" s="108"/>
      <c r="G5" s="108" t="s">
        <v>130</v>
      </c>
      <c r="H5" s="108"/>
      <c r="J5" s="108" t="s">
        <v>136</v>
      </c>
      <c r="K5" s="108"/>
    </row>
    <row r="6" spans="2:11" x14ac:dyDescent="0.3">
      <c r="B6" s="8" t="s">
        <v>24</v>
      </c>
      <c r="D6" s="19" t="s">
        <v>63</v>
      </c>
      <c r="E6" s="65">
        <f>COUNTA(B6:B100)</f>
        <v>95</v>
      </c>
      <c r="G6" s="19" t="s">
        <v>131</v>
      </c>
      <c r="H6" s="76">
        <v>0.9</v>
      </c>
      <c r="J6" s="19" t="s">
        <v>137</v>
      </c>
      <c r="K6" s="76">
        <f>E7-H11</f>
        <v>0.1698162967729179</v>
      </c>
    </row>
    <row r="7" spans="2:11" x14ac:dyDescent="0.3">
      <c r="B7" s="8" t="s">
        <v>24</v>
      </c>
      <c r="D7" s="19" t="s">
        <v>146</v>
      </c>
      <c r="E7" s="81">
        <f>COUNTIFS(B6:B100,"Yes")/E6</f>
        <v>0.24210526315789474</v>
      </c>
      <c r="G7" s="19" t="s">
        <v>132</v>
      </c>
      <c r="H7" s="76">
        <f>1-H6</f>
        <v>9.9999999999999978E-2</v>
      </c>
      <c r="J7" s="19" t="s">
        <v>138</v>
      </c>
      <c r="K7" s="76">
        <f>E7+H11</f>
        <v>0.31439422954287155</v>
      </c>
    </row>
    <row r="8" spans="2:11" x14ac:dyDescent="0.3">
      <c r="B8" s="8" t="s">
        <v>26</v>
      </c>
      <c r="D8" s="19" t="s">
        <v>147</v>
      </c>
      <c r="E8" s="81">
        <f>1-E7</f>
        <v>0.75789473684210529</v>
      </c>
      <c r="G8" s="19" t="s">
        <v>133</v>
      </c>
      <c r="H8" s="79">
        <f>H7/2</f>
        <v>4.9999999999999989E-2</v>
      </c>
    </row>
    <row r="9" spans="2:11" x14ac:dyDescent="0.3">
      <c r="B9" s="8" t="s">
        <v>24</v>
      </c>
      <c r="G9" s="19" t="s">
        <v>141</v>
      </c>
      <c r="H9" s="80">
        <f>_xlfn.NORM.S.INV(1-H8)</f>
        <v>1.6448536269514715</v>
      </c>
    </row>
    <row r="10" spans="2:11" x14ac:dyDescent="0.3">
      <c r="B10" s="8" t="s">
        <v>24</v>
      </c>
      <c r="D10" s="108" t="s">
        <v>151</v>
      </c>
      <c r="E10" s="108"/>
      <c r="G10" s="19" t="s">
        <v>135</v>
      </c>
      <c r="H10" s="75">
        <f>SQRT(E7*E8/E6)</f>
        <v>4.394857098558691E-2</v>
      </c>
    </row>
    <row r="11" spans="2:11" x14ac:dyDescent="0.3">
      <c r="B11" s="8" t="s">
        <v>24</v>
      </c>
      <c r="D11" s="19" t="s">
        <v>152</v>
      </c>
      <c r="E11" s="65">
        <f>E7*E6</f>
        <v>23</v>
      </c>
      <c r="G11" s="19" t="s">
        <v>139</v>
      </c>
      <c r="H11" s="71">
        <f>H9*H10</f>
        <v>7.2288966384976838E-2</v>
      </c>
    </row>
    <row r="12" spans="2:11" x14ac:dyDescent="0.3">
      <c r="B12" s="8" t="s">
        <v>24</v>
      </c>
      <c r="D12" s="19" t="s">
        <v>153</v>
      </c>
      <c r="E12" s="65">
        <f>E8*E6</f>
        <v>72</v>
      </c>
    </row>
    <row r="13" spans="2:11" x14ac:dyDescent="0.3">
      <c r="B13" s="8" t="s">
        <v>24</v>
      </c>
    </row>
    <row r="14" spans="2:11" x14ac:dyDescent="0.3">
      <c r="B14" s="8" t="s">
        <v>24</v>
      </c>
    </row>
    <row r="15" spans="2:11" x14ac:dyDescent="0.3">
      <c r="B15" s="8" t="s">
        <v>24</v>
      </c>
    </row>
    <row r="16" spans="2:11" x14ac:dyDescent="0.3">
      <c r="B16" s="8" t="s">
        <v>24</v>
      </c>
    </row>
    <row r="17" spans="2:2" x14ac:dyDescent="0.3">
      <c r="B17" s="8" t="s">
        <v>24</v>
      </c>
    </row>
    <row r="18" spans="2:2" x14ac:dyDescent="0.3">
      <c r="B18" s="8" t="s">
        <v>24</v>
      </c>
    </row>
    <row r="19" spans="2:2" x14ac:dyDescent="0.3">
      <c r="B19" s="8" t="s">
        <v>24</v>
      </c>
    </row>
    <row r="20" spans="2:2" x14ac:dyDescent="0.3">
      <c r="B20" s="8" t="s">
        <v>24</v>
      </c>
    </row>
    <row r="21" spans="2:2" x14ac:dyDescent="0.3">
      <c r="B21" s="8" t="s">
        <v>24</v>
      </c>
    </row>
    <row r="22" spans="2:2" x14ac:dyDescent="0.3">
      <c r="B22" s="8" t="s">
        <v>26</v>
      </c>
    </row>
    <row r="23" spans="2:2" x14ac:dyDescent="0.3">
      <c r="B23" s="8" t="s">
        <v>24</v>
      </c>
    </row>
    <row r="24" spans="2:2" x14ac:dyDescent="0.3">
      <c r="B24" s="8" t="s">
        <v>24</v>
      </c>
    </row>
    <row r="25" spans="2:2" x14ac:dyDescent="0.3">
      <c r="B25" s="8" t="s">
        <v>24</v>
      </c>
    </row>
    <row r="26" spans="2:2" x14ac:dyDescent="0.3">
      <c r="B26" s="8" t="s">
        <v>24</v>
      </c>
    </row>
    <row r="27" spans="2:2" x14ac:dyDescent="0.3">
      <c r="B27" s="8" t="s">
        <v>24</v>
      </c>
    </row>
    <row r="28" spans="2:2" x14ac:dyDescent="0.3">
      <c r="B28" s="8" t="s">
        <v>24</v>
      </c>
    </row>
    <row r="29" spans="2:2" x14ac:dyDescent="0.3">
      <c r="B29" s="8" t="s">
        <v>24</v>
      </c>
    </row>
    <row r="30" spans="2:2" x14ac:dyDescent="0.3">
      <c r="B30" s="8" t="s">
        <v>24</v>
      </c>
    </row>
    <row r="31" spans="2:2" x14ac:dyDescent="0.3">
      <c r="B31" s="8" t="s">
        <v>24</v>
      </c>
    </row>
    <row r="32" spans="2:2" x14ac:dyDescent="0.3">
      <c r="B32" s="8" t="s">
        <v>24</v>
      </c>
    </row>
    <row r="33" spans="2:2" x14ac:dyDescent="0.3">
      <c r="B33" s="8" t="s">
        <v>24</v>
      </c>
    </row>
    <row r="34" spans="2:2" x14ac:dyDescent="0.3">
      <c r="B34" s="8" t="s">
        <v>24</v>
      </c>
    </row>
    <row r="35" spans="2:2" x14ac:dyDescent="0.3">
      <c r="B35" s="8" t="s">
        <v>24</v>
      </c>
    </row>
    <row r="36" spans="2:2" x14ac:dyDescent="0.3">
      <c r="B36" s="8" t="s">
        <v>24</v>
      </c>
    </row>
    <row r="37" spans="2:2" x14ac:dyDescent="0.3">
      <c r="B37" s="8" t="s">
        <v>24</v>
      </c>
    </row>
    <row r="38" spans="2:2" x14ac:dyDescent="0.3">
      <c r="B38" s="8" t="s">
        <v>24</v>
      </c>
    </row>
    <row r="39" spans="2:2" x14ac:dyDescent="0.3">
      <c r="B39" s="8" t="s">
        <v>26</v>
      </c>
    </row>
    <row r="40" spans="2:2" x14ac:dyDescent="0.3">
      <c r="B40" s="8" t="s">
        <v>24</v>
      </c>
    </row>
    <row r="41" spans="2:2" x14ac:dyDescent="0.3">
      <c r="B41" s="8" t="s">
        <v>24</v>
      </c>
    </row>
    <row r="42" spans="2:2" x14ac:dyDescent="0.3">
      <c r="B42" s="8" t="s">
        <v>26</v>
      </c>
    </row>
    <row r="43" spans="2:2" x14ac:dyDescent="0.3">
      <c r="B43" s="8" t="s">
        <v>24</v>
      </c>
    </row>
    <row r="44" spans="2:2" x14ac:dyDescent="0.3">
      <c r="B44" s="8" t="s">
        <v>24</v>
      </c>
    </row>
    <row r="45" spans="2:2" x14ac:dyDescent="0.3">
      <c r="B45" s="8" t="s">
        <v>26</v>
      </c>
    </row>
    <row r="46" spans="2:2" x14ac:dyDescent="0.3">
      <c r="B46" s="8" t="s">
        <v>24</v>
      </c>
    </row>
    <row r="47" spans="2:2" x14ac:dyDescent="0.3">
      <c r="B47" s="8" t="s">
        <v>26</v>
      </c>
    </row>
    <row r="48" spans="2:2" x14ac:dyDescent="0.3">
      <c r="B48" s="8" t="s">
        <v>26</v>
      </c>
    </row>
    <row r="49" spans="2:2" x14ac:dyDescent="0.3">
      <c r="B49" s="8" t="s">
        <v>24</v>
      </c>
    </row>
    <row r="50" spans="2:2" x14ac:dyDescent="0.3">
      <c r="B50" s="8" t="s">
        <v>24</v>
      </c>
    </row>
    <row r="51" spans="2:2" x14ac:dyDescent="0.3">
      <c r="B51" s="8" t="s">
        <v>26</v>
      </c>
    </row>
    <row r="52" spans="2:2" x14ac:dyDescent="0.3">
      <c r="B52" s="8" t="s">
        <v>24</v>
      </c>
    </row>
    <row r="53" spans="2:2" x14ac:dyDescent="0.3">
      <c r="B53" s="8" t="s">
        <v>24</v>
      </c>
    </row>
    <row r="54" spans="2:2" x14ac:dyDescent="0.3">
      <c r="B54" s="8" t="s">
        <v>24</v>
      </c>
    </row>
    <row r="55" spans="2:2" x14ac:dyDescent="0.3">
      <c r="B55" s="8" t="s">
        <v>24</v>
      </c>
    </row>
    <row r="56" spans="2:2" x14ac:dyDescent="0.3">
      <c r="B56" s="8" t="s">
        <v>26</v>
      </c>
    </row>
    <row r="57" spans="2:2" x14ac:dyDescent="0.3">
      <c r="B57" s="8" t="s">
        <v>24</v>
      </c>
    </row>
    <row r="58" spans="2:2" x14ac:dyDescent="0.3">
      <c r="B58" s="8" t="s">
        <v>26</v>
      </c>
    </row>
    <row r="59" spans="2:2" x14ac:dyDescent="0.3">
      <c r="B59" s="8" t="s">
        <v>26</v>
      </c>
    </row>
    <row r="60" spans="2:2" x14ac:dyDescent="0.3">
      <c r="B60" s="8" t="s">
        <v>26</v>
      </c>
    </row>
    <row r="61" spans="2:2" x14ac:dyDescent="0.3">
      <c r="B61" s="8" t="s">
        <v>24</v>
      </c>
    </row>
    <row r="62" spans="2:2" x14ac:dyDescent="0.3">
      <c r="B62" s="8" t="s">
        <v>26</v>
      </c>
    </row>
    <row r="63" spans="2:2" x14ac:dyDescent="0.3">
      <c r="B63" s="8" t="s">
        <v>26</v>
      </c>
    </row>
    <row r="64" spans="2:2" x14ac:dyDescent="0.3">
      <c r="B64" s="8" t="s">
        <v>26</v>
      </c>
    </row>
    <row r="65" spans="2:2" x14ac:dyDescent="0.3">
      <c r="B65" s="8" t="s">
        <v>24</v>
      </c>
    </row>
    <row r="66" spans="2:2" x14ac:dyDescent="0.3">
      <c r="B66" s="8" t="s">
        <v>24</v>
      </c>
    </row>
    <row r="67" spans="2:2" x14ac:dyDescent="0.3">
      <c r="B67" s="8" t="s">
        <v>24</v>
      </c>
    </row>
    <row r="68" spans="2:2" x14ac:dyDescent="0.3">
      <c r="B68" s="8" t="s">
        <v>24</v>
      </c>
    </row>
    <row r="69" spans="2:2" x14ac:dyDescent="0.3">
      <c r="B69" s="8" t="s">
        <v>24</v>
      </c>
    </row>
    <row r="70" spans="2:2" x14ac:dyDescent="0.3">
      <c r="B70" s="8" t="s">
        <v>26</v>
      </c>
    </row>
    <row r="71" spans="2:2" x14ac:dyDescent="0.3">
      <c r="B71" s="8" t="s">
        <v>26</v>
      </c>
    </row>
    <row r="72" spans="2:2" x14ac:dyDescent="0.3">
      <c r="B72" s="8" t="s">
        <v>26</v>
      </c>
    </row>
    <row r="73" spans="2:2" x14ac:dyDescent="0.3">
      <c r="B73" s="8" t="s">
        <v>24</v>
      </c>
    </row>
    <row r="74" spans="2:2" x14ac:dyDescent="0.3">
      <c r="B74" s="8" t="s">
        <v>26</v>
      </c>
    </row>
    <row r="75" spans="2:2" x14ac:dyDescent="0.3">
      <c r="B75" s="8" t="s">
        <v>24</v>
      </c>
    </row>
    <row r="76" spans="2:2" x14ac:dyDescent="0.3">
      <c r="B76" s="8" t="s">
        <v>26</v>
      </c>
    </row>
    <row r="77" spans="2:2" x14ac:dyDescent="0.3">
      <c r="B77" s="8" t="s">
        <v>26</v>
      </c>
    </row>
    <row r="78" spans="2:2" x14ac:dyDescent="0.3">
      <c r="B78" s="8" t="s">
        <v>24</v>
      </c>
    </row>
    <row r="79" spans="2:2" x14ac:dyDescent="0.3">
      <c r="B79" s="8" t="s">
        <v>24</v>
      </c>
    </row>
    <row r="80" spans="2:2" x14ac:dyDescent="0.3">
      <c r="B80" s="8" t="s">
        <v>24</v>
      </c>
    </row>
    <row r="81" spans="2:2" x14ac:dyDescent="0.3">
      <c r="B81" s="8" t="s">
        <v>24</v>
      </c>
    </row>
    <row r="82" spans="2:2" x14ac:dyDescent="0.3">
      <c r="B82" s="8" t="s">
        <v>24</v>
      </c>
    </row>
    <row r="83" spans="2:2" x14ac:dyDescent="0.3">
      <c r="B83" s="8" t="s">
        <v>24</v>
      </c>
    </row>
    <row r="84" spans="2:2" x14ac:dyDescent="0.3">
      <c r="B84" s="8" t="s">
        <v>24</v>
      </c>
    </row>
    <row r="85" spans="2:2" x14ac:dyDescent="0.3">
      <c r="B85" s="8" t="s">
        <v>24</v>
      </c>
    </row>
    <row r="86" spans="2:2" x14ac:dyDescent="0.3">
      <c r="B86" s="8" t="s">
        <v>24</v>
      </c>
    </row>
    <row r="87" spans="2:2" x14ac:dyDescent="0.3">
      <c r="B87" s="8" t="s">
        <v>24</v>
      </c>
    </row>
    <row r="88" spans="2:2" x14ac:dyDescent="0.3">
      <c r="B88" s="8" t="s">
        <v>24</v>
      </c>
    </row>
    <row r="89" spans="2:2" x14ac:dyDescent="0.3">
      <c r="B89" s="8" t="s">
        <v>24</v>
      </c>
    </row>
    <row r="90" spans="2:2" x14ac:dyDescent="0.3">
      <c r="B90" s="8" t="s">
        <v>26</v>
      </c>
    </row>
    <row r="91" spans="2:2" x14ac:dyDescent="0.3">
      <c r="B91" s="8" t="s">
        <v>26</v>
      </c>
    </row>
    <row r="92" spans="2:2" x14ac:dyDescent="0.3">
      <c r="B92" s="8" t="s">
        <v>24</v>
      </c>
    </row>
    <row r="93" spans="2:2" x14ac:dyDescent="0.3">
      <c r="B93" s="8" t="s">
        <v>24</v>
      </c>
    </row>
    <row r="94" spans="2:2" x14ac:dyDescent="0.3">
      <c r="B94" s="8" t="s">
        <v>24</v>
      </c>
    </row>
    <row r="95" spans="2:2" x14ac:dyDescent="0.3">
      <c r="B95" s="8" t="s">
        <v>24</v>
      </c>
    </row>
    <row r="96" spans="2:2" x14ac:dyDescent="0.3">
      <c r="B96" s="8" t="s">
        <v>24</v>
      </c>
    </row>
    <row r="97" spans="2:2" x14ac:dyDescent="0.3">
      <c r="B97" s="8" t="s">
        <v>24</v>
      </c>
    </row>
    <row r="98" spans="2:2" x14ac:dyDescent="0.3">
      <c r="B98" s="8" t="s">
        <v>24</v>
      </c>
    </row>
    <row r="99" spans="2:2" x14ac:dyDescent="0.3">
      <c r="B99" s="8" t="s">
        <v>24</v>
      </c>
    </row>
    <row r="100" spans="2:2" x14ac:dyDescent="0.3">
      <c r="B100" s="8" t="s">
        <v>24</v>
      </c>
    </row>
  </sheetData>
  <mergeCells count="4">
    <mergeCell ref="D5:E5"/>
    <mergeCell ref="G5:H5"/>
    <mergeCell ref="J5:K5"/>
    <mergeCell ref="D10:E10"/>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274B-36F9-4ECA-9983-9B824BAE41FE}">
  <sheetPr codeName="Sheet32">
    <tabColor theme="9" tint="0.59999389629810485"/>
  </sheetPr>
  <dimension ref="B1:K100"/>
  <sheetViews>
    <sheetView showGridLines="0" workbookViewId="0">
      <selection activeCell="K24" sqref="K24"/>
    </sheetView>
  </sheetViews>
  <sheetFormatPr defaultRowHeight="14.4" x14ac:dyDescent="0.3"/>
  <cols>
    <col min="1" max="1" width="2.88671875" customWidth="1"/>
    <col min="2" max="2" width="11.44140625" customWidth="1"/>
    <col min="4" max="4" width="12.88671875" customWidth="1"/>
    <col min="5" max="5" width="11.44140625" customWidth="1"/>
    <col min="7" max="7" width="20" customWidth="1"/>
    <col min="8" max="8" width="9.5546875" bestFit="1" customWidth="1"/>
    <col min="10" max="10" width="14.33203125" customWidth="1"/>
    <col min="11" max="11" width="11.44140625" customWidth="1"/>
  </cols>
  <sheetData>
    <row r="1" spans="2:11" ht="25.5" customHeight="1" x14ac:dyDescent="0.35">
      <c r="B1" s="17" t="s">
        <v>150</v>
      </c>
    </row>
    <row r="2" spans="2:11" ht="15" customHeight="1" x14ac:dyDescent="0.3">
      <c r="B2" s="27" t="s">
        <v>149</v>
      </c>
    </row>
    <row r="3" spans="2:11" ht="18" customHeight="1" x14ac:dyDescent="0.3"/>
    <row r="4" spans="2:11" x14ac:dyDescent="0.3">
      <c r="D4" s="3"/>
      <c r="G4" s="3"/>
      <c r="J4" s="3"/>
    </row>
    <row r="5" spans="2:11" x14ac:dyDescent="0.3">
      <c r="B5" s="7" t="s">
        <v>11</v>
      </c>
      <c r="D5" s="108" t="s">
        <v>128</v>
      </c>
      <c r="E5" s="108"/>
      <c r="G5" s="108" t="s">
        <v>130</v>
      </c>
      <c r="H5" s="108"/>
      <c r="J5" s="108" t="s">
        <v>136</v>
      </c>
      <c r="K5" s="108"/>
    </row>
    <row r="6" spans="2:11" x14ac:dyDescent="0.3">
      <c r="B6" s="8" t="s">
        <v>12</v>
      </c>
      <c r="D6" s="19" t="s">
        <v>63</v>
      </c>
      <c r="E6" s="65">
        <f>COUNTA(B6:B100)</f>
        <v>95</v>
      </c>
      <c r="G6" s="19" t="s">
        <v>131</v>
      </c>
      <c r="H6" s="76">
        <v>0.95</v>
      </c>
      <c r="J6" s="19" t="s">
        <v>137</v>
      </c>
      <c r="K6" s="76">
        <f>E7-H11</f>
        <v>0.45802698737891206</v>
      </c>
    </row>
    <row r="7" spans="2:11" x14ac:dyDescent="0.3">
      <c r="B7" s="8" t="s">
        <v>13</v>
      </c>
      <c r="D7" s="19" t="s">
        <v>146</v>
      </c>
      <c r="E7" s="81">
        <f>COUNTIFS(B6:B100,"Placed")/E6</f>
        <v>0.55789473684210522</v>
      </c>
      <c r="G7" s="19" t="s">
        <v>132</v>
      </c>
      <c r="H7" s="76">
        <f>1-H6</f>
        <v>5.0000000000000044E-2</v>
      </c>
      <c r="J7" s="19" t="s">
        <v>138</v>
      </c>
      <c r="K7" s="76">
        <f>E7+H11</f>
        <v>0.65776248630529843</v>
      </c>
    </row>
    <row r="8" spans="2:11" x14ac:dyDescent="0.3">
      <c r="B8" s="8" t="s">
        <v>12</v>
      </c>
      <c r="D8" s="19" t="s">
        <v>147</v>
      </c>
      <c r="E8" s="81">
        <f>1-E7</f>
        <v>0.44210526315789478</v>
      </c>
      <c r="G8" s="19" t="s">
        <v>133</v>
      </c>
      <c r="H8" s="79">
        <f>H7/2</f>
        <v>2.5000000000000022E-2</v>
      </c>
    </row>
    <row r="9" spans="2:11" x14ac:dyDescent="0.3">
      <c r="B9" s="8" t="s">
        <v>13</v>
      </c>
      <c r="G9" s="19" t="s">
        <v>141</v>
      </c>
      <c r="H9" s="80">
        <f>_xlfn.NORM.S.INV(1-H8)</f>
        <v>1.9599639845400536</v>
      </c>
    </row>
    <row r="10" spans="2:11" x14ac:dyDescent="0.3">
      <c r="B10" s="8" t="s">
        <v>13</v>
      </c>
      <c r="D10" s="108" t="s">
        <v>151</v>
      </c>
      <c r="E10" s="108"/>
      <c r="G10" s="19" t="s">
        <v>135</v>
      </c>
      <c r="H10" s="71">
        <f>SQRT(E7*E8/E6)</f>
        <v>5.0953869688901053E-2</v>
      </c>
    </row>
    <row r="11" spans="2:11" x14ac:dyDescent="0.3">
      <c r="B11" s="8" t="s">
        <v>13</v>
      </c>
      <c r="D11" s="19" t="s">
        <v>152</v>
      </c>
      <c r="E11" s="65">
        <f>E7*E6</f>
        <v>52.999999999999993</v>
      </c>
      <c r="G11" s="19" t="s">
        <v>139</v>
      </c>
      <c r="H11" s="71">
        <f>H9*H10</f>
        <v>9.986774946319317E-2</v>
      </c>
    </row>
    <row r="12" spans="2:11" x14ac:dyDescent="0.3">
      <c r="B12" s="8" t="s">
        <v>12</v>
      </c>
      <c r="D12" s="19" t="s">
        <v>153</v>
      </c>
      <c r="E12" s="65">
        <f>E8*E6</f>
        <v>42.000000000000007</v>
      </c>
    </row>
    <row r="13" spans="2:11" x14ac:dyDescent="0.3">
      <c r="B13" s="8" t="s">
        <v>12</v>
      </c>
      <c r="D13" s="19"/>
      <c r="E13" s="34"/>
    </row>
    <row r="14" spans="2:11" x14ac:dyDescent="0.3">
      <c r="B14" s="8" t="s">
        <v>12</v>
      </c>
    </row>
    <row r="15" spans="2:11" x14ac:dyDescent="0.3">
      <c r="B15" s="8" t="s">
        <v>12</v>
      </c>
    </row>
    <row r="16" spans="2:11" x14ac:dyDescent="0.3">
      <c r="B16" s="8" t="s">
        <v>13</v>
      </c>
    </row>
    <row r="17" spans="2:2" x14ac:dyDescent="0.3">
      <c r="B17" s="8" t="s">
        <v>12</v>
      </c>
    </row>
    <row r="18" spans="2:2" x14ac:dyDescent="0.3">
      <c r="B18" s="8" t="s">
        <v>13</v>
      </c>
    </row>
    <row r="19" spans="2:2" x14ac:dyDescent="0.3">
      <c r="B19" s="8" t="s">
        <v>12</v>
      </c>
    </row>
    <row r="20" spans="2:2" x14ac:dyDescent="0.3">
      <c r="B20" s="8" t="s">
        <v>12</v>
      </c>
    </row>
    <row r="21" spans="2:2" x14ac:dyDescent="0.3">
      <c r="B21" s="8" t="s">
        <v>12</v>
      </c>
    </row>
    <row r="22" spans="2:2" x14ac:dyDescent="0.3">
      <c r="B22" s="8" t="s">
        <v>13</v>
      </c>
    </row>
    <row r="23" spans="2:2" x14ac:dyDescent="0.3">
      <c r="B23" s="8" t="s">
        <v>12</v>
      </c>
    </row>
    <row r="24" spans="2:2" x14ac:dyDescent="0.3">
      <c r="B24" s="8" t="s">
        <v>13</v>
      </c>
    </row>
    <row r="25" spans="2:2" x14ac:dyDescent="0.3">
      <c r="B25" s="8" t="s">
        <v>13</v>
      </c>
    </row>
    <row r="26" spans="2:2" x14ac:dyDescent="0.3">
      <c r="B26" s="8" t="s">
        <v>13</v>
      </c>
    </row>
    <row r="27" spans="2:2" x14ac:dyDescent="0.3">
      <c r="B27" s="8" t="s">
        <v>12</v>
      </c>
    </row>
    <row r="28" spans="2:2" x14ac:dyDescent="0.3">
      <c r="B28" s="8" t="s">
        <v>13</v>
      </c>
    </row>
    <row r="29" spans="2:2" x14ac:dyDescent="0.3">
      <c r="B29" s="8" t="s">
        <v>13</v>
      </c>
    </row>
    <row r="30" spans="2:2" x14ac:dyDescent="0.3">
      <c r="B30" s="8" t="s">
        <v>12</v>
      </c>
    </row>
    <row r="31" spans="2:2" x14ac:dyDescent="0.3">
      <c r="B31" s="8" t="s">
        <v>12</v>
      </c>
    </row>
    <row r="32" spans="2:2" x14ac:dyDescent="0.3">
      <c r="B32" s="8" t="s">
        <v>12</v>
      </c>
    </row>
    <row r="33" spans="2:2" x14ac:dyDescent="0.3">
      <c r="B33" s="8" t="s">
        <v>13</v>
      </c>
    </row>
    <row r="34" spans="2:2" x14ac:dyDescent="0.3">
      <c r="B34" s="8" t="s">
        <v>13</v>
      </c>
    </row>
    <row r="35" spans="2:2" x14ac:dyDescent="0.3">
      <c r="B35" s="8" t="s">
        <v>12</v>
      </c>
    </row>
    <row r="36" spans="2:2" x14ac:dyDescent="0.3">
      <c r="B36" s="8" t="s">
        <v>13</v>
      </c>
    </row>
    <row r="37" spans="2:2" x14ac:dyDescent="0.3">
      <c r="B37" s="8" t="s">
        <v>13</v>
      </c>
    </row>
    <row r="38" spans="2:2" x14ac:dyDescent="0.3">
      <c r="B38" s="8" t="s">
        <v>13</v>
      </c>
    </row>
    <row r="39" spans="2:2" x14ac:dyDescent="0.3">
      <c r="B39" s="8" t="s">
        <v>12</v>
      </c>
    </row>
    <row r="40" spans="2:2" x14ac:dyDescent="0.3">
      <c r="B40" s="8" t="s">
        <v>13</v>
      </c>
    </row>
    <row r="41" spans="2:2" x14ac:dyDescent="0.3">
      <c r="B41" s="8" t="s">
        <v>12</v>
      </c>
    </row>
    <row r="42" spans="2:2" x14ac:dyDescent="0.3">
      <c r="B42" s="8" t="s">
        <v>12</v>
      </c>
    </row>
    <row r="43" spans="2:2" x14ac:dyDescent="0.3">
      <c r="B43" s="8" t="s">
        <v>13</v>
      </c>
    </row>
    <row r="44" spans="2:2" x14ac:dyDescent="0.3">
      <c r="B44" s="8" t="s">
        <v>13</v>
      </c>
    </row>
    <row r="45" spans="2:2" x14ac:dyDescent="0.3">
      <c r="B45" s="8" t="s">
        <v>13</v>
      </c>
    </row>
    <row r="46" spans="2:2" x14ac:dyDescent="0.3">
      <c r="B46" s="8" t="s">
        <v>12</v>
      </c>
    </row>
    <row r="47" spans="2:2" x14ac:dyDescent="0.3">
      <c r="B47" s="8" t="s">
        <v>12</v>
      </c>
    </row>
    <row r="48" spans="2:2" x14ac:dyDescent="0.3">
      <c r="B48" s="8" t="s">
        <v>12</v>
      </c>
    </row>
    <row r="49" spans="2:2" x14ac:dyDescent="0.3">
      <c r="B49" s="8" t="s">
        <v>13</v>
      </c>
    </row>
    <row r="50" spans="2:2" x14ac:dyDescent="0.3">
      <c r="B50" s="8" t="s">
        <v>12</v>
      </c>
    </row>
    <row r="51" spans="2:2" x14ac:dyDescent="0.3">
      <c r="B51" s="8" t="s">
        <v>13</v>
      </c>
    </row>
    <row r="52" spans="2:2" x14ac:dyDescent="0.3">
      <c r="B52" s="8" t="s">
        <v>12</v>
      </c>
    </row>
    <row r="53" spans="2:2" x14ac:dyDescent="0.3">
      <c r="B53" s="8" t="s">
        <v>13</v>
      </c>
    </row>
    <row r="54" spans="2:2" x14ac:dyDescent="0.3">
      <c r="B54" s="8" t="s">
        <v>12</v>
      </c>
    </row>
    <row r="55" spans="2:2" x14ac:dyDescent="0.3">
      <c r="B55" s="8" t="s">
        <v>12</v>
      </c>
    </row>
    <row r="56" spans="2:2" x14ac:dyDescent="0.3">
      <c r="B56" s="8" t="s">
        <v>12</v>
      </c>
    </row>
    <row r="57" spans="2:2" x14ac:dyDescent="0.3">
      <c r="B57" s="8" t="s">
        <v>13</v>
      </c>
    </row>
    <row r="58" spans="2:2" x14ac:dyDescent="0.3">
      <c r="B58" s="8" t="s">
        <v>12</v>
      </c>
    </row>
    <row r="59" spans="2:2" x14ac:dyDescent="0.3">
      <c r="B59" s="8" t="s">
        <v>12</v>
      </c>
    </row>
    <row r="60" spans="2:2" x14ac:dyDescent="0.3">
      <c r="B60" s="8" t="s">
        <v>12</v>
      </c>
    </row>
    <row r="61" spans="2:2" x14ac:dyDescent="0.3">
      <c r="B61" s="8" t="s">
        <v>12</v>
      </c>
    </row>
    <row r="62" spans="2:2" x14ac:dyDescent="0.3">
      <c r="B62" s="8" t="s">
        <v>12</v>
      </c>
    </row>
    <row r="63" spans="2:2" x14ac:dyDescent="0.3">
      <c r="B63" s="8" t="s">
        <v>12</v>
      </c>
    </row>
    <row r="64" spans="2:2" x14ac:dyDescent="0.3">
      <c r="B64" s="8" t="s">
        <v>12</v>
      </c>
    </row>
    <row r="65" spans="2:2" x14ac:dyDescent="0.3">
      <c r="B65" s="8" t="s">
        <v>12</v>
      </c>
    </row>
    <row r="66" spans="2:2" x14ac:dyDescent="0.3">
      <c r="B66" s="8" t="s">
        <v>12</v>
      </c>
    </row>
    <row r="67" spans="2:2" x14ac:dyDescent="0.3">
      <c r="B67" s="8" t="s">
        <v>13</v>
      </c>
    </row>
    <row r="68" spans="2:2" x14ac:dyDescent="0.3">
      <c r="B68" s="8" t="s">
        <v>12</v>
      </c>
    </row>
    <row r="69" spans="2:2" x14ac:dyDescent="0.3">
      <c r="B69" s="8" t="s">
        <v>12</v>
      </c>
    </row>
    <row r="70" spans="2:2" x14ac:dyDescent="0.3">
      <c r="B70" s="8" t="s">
        <v>13</v>
      </c>
    </row>
    <row r="71" spans="2:2" x14ac:dyDescent="0.3">
      <c r="B71" s="8" t="s">
        <v>13</v>
      </c>
    </row>
    <row r="72" spans="2:2" x14ac:dyDescent="0.3">
      <c r="B72" s="8" t="s">
        <v>12</v>
      </c>
    </row>
    <row r="73" spans="2:2" x14ac:dyDescent="0.3">
      <c r="B73" s="8" t="s">
        <v>13</v>
      </c>
    </row>
    <row r="74" spans="2:2" x14ac:dyDescent="0.3">
      <c r="B74" s="8" t="s">
        <v>12</v>
      </c>
    </row>
    <row r="75" spans="2:2" x14ac:dyDescent="0.3">
      <c r="B75" s="8" t="s">
        <v>13</v>
      </c>
    </row>
    <row r="76" spans="2:2" x14ac:dyDescent="0.3">
      <c r="B76" s="8" t="s">
        <v>12</v>
      </c>
    </row>
    <row r="77" spans="2:2" x14ac:dyDescent="0.3">
      <c r="B77" s="8" t="s">
        <v>13</v>
      </c>
    </row>
    <row r="78" spans="2:2" x14ac:dyDescent="0.3">
      <c r="B78" s="8" t="s">
        <v>13</v>
      </c>
    </row>
    <row r="79" spans="2:2" x14ac:dyDescent="0.3">
      <c r="B79" s="8" t="s">
        <v>13</v>
      </c>
    </row>
    <row r="80" spans="2:2" x14ac:dyDescent="0.3">
      <c r="B80" s="8" t="s">
        <v>12</v>
      </c>
    </row>
    <row r="81" spans="2:2" x14ac:dyDescent="0.3">
      <c r="B81" s="8" t="s">
        <v>13</v>
      </c>
    </row>
    <row r="82" spans="2:2" x14ac:dyDescent="0.3">
      <c r="B82" s="8" t="s">
        <v>13</v>
      </c>
    </row>
    <row r="83" spans="2:2" x14ac:dyDescent="0.3">
      <c r="B83" s="8" t="s">
        <v>12</v>
      </c>
    </row>
    <row r="84" spans="2:2" x14ac:dyDescent="0.3">
      <c r="B84" s="8" t="s">
        <v>12</v>
      </c>
    </row>
    <row r="85" spans="2:2" x14ac:dyDescent="0.3">
      <c r="B85" s="8" t="s">
        <v>13</v>
      </c>
    </row>
    <row r="86" spans="2:2" x14ac:dyDescent="0.3">
      <c r="B86" s="8" t="s">
        <v>13</v>
      </c>
    </row>
    <row r="87" spans="2:2" x14ac:dyDescent="0.3">
      <c r="B87" s="8" t="s">
        <v>12</v>
      </c>
    </row>
    <row r="88" spans="2:2" x14ac:dyDescent="0.3">
      <c r="B88" s="8" t="s">
        <v>13</v>
      </c>
    </row>
    <row r="89" spans="2:2" x14ac:dyDescent="0.3">
      <c r="B89" s="8" t="s">
        <v>12</v>
      </c>
    </row>
    <row r="90" spans="2:2" x14ac:dyDescent="0.3">
      <c r="B90" s="8" t="s">
        <v>12</v>
      </c>
    </row>
    <row r="91" spans="2:2" x14ac:dyDescent="0.3">
      <c r="B91" s="8" t="s">
        <v>12</v>
      </c>
    </row>
    <row r="92" spans="2:2" x14ac:dyDescent="0.3">
      <c r="B92" s="8" t="s">
        <v>12</v>
      </c>
    </row>
    <row r="93" spans="2:2" x14ac:dyDescent="0.3">
      <c r="B93" s="8" t="s">
        <v>13</v>
      </c>
    </row>
    <row r="94" spans="2:2" x14ac:dyDescent="0.3">
      <c r="B94" s="8" t="s">
        <v>12</v>
      </c>
    </row>
    <row r="95" spans="2:2" x14ac:dyDescent="0.3">
      <c r="B95" s="8" t="s">
        <v>13</v>
      </c>
    </row>
    <row r="96" spans="2:2" x14ac:dyDescent="0.3">
      <c r="B96" s="8" t="s">
        <v>12</v>
      </c>
    </row>
    <row r="97" spans="2:2" x14ac:dyDescent="0.3">
      <c r="B97" s="8" t="s">
        <v>12</v>
      </c>
    </row>
    <row r="98" spans="2:2" x14ac:dyDescent="0.3">
      <c r="B98" s="8" t="s">
        <v>13</v>
      </c>
    </row>
    <row r="99" spans="2:2" x14ac:dyDescent="0.3">
      <c r="B99" s="8" t="s">
        <v>12</v>
      </c>
    </row>
    <row r="100" spans="2:2" x14ac:dyDescent="0.3">
      <c r="B100" s="8" t="s">
        <v>13</v>
      </c>
    </row>
  </sheetData>
  <mergeCells count="4">
    <mergeCell ref="D5:E5"/>
    <mergeCell ref="G5:H5"/>
    <mergeCell ref="J5:K5"/>
    <mergeCell ref="D10:E10"/>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55C53-2B07-42B0-B919-B0D5FEFC1CE6}">
  <sheetPr codeName="Sheet33">
    <tabColor theme="9" tint="0.79998168889431442"/>
  </sheetPr>
  <dimension ref="B1:N100"/>
  <sheetViews>
    <sheetView showGridLines="0" workbookViewId="0">
      <selection activeCell="K11" sqref="K11"/>
    </sheetView>
  </sheetViews>
  <sheetFormatPr defaultRowHeight="14.4" x14ac:dyDescent="0.3"/>
  <cols>
    <col min="1" max="1" width="2.88671875" customWidth="1"/>
    <col min="2" max="2" width="11.44140625" customWidth="1"/>
    <col min="3" max="3" width="17.109375" customWidth="1"/>
    <col min="4" max="4" width="11.44140625" customWidth="1"/>
    <col min="5" max="5" width="11.33203125" customWidth="1"/>
    <col min="7" max="7" width="12.109375" customWidth="1"/>
    <col min="8" max="8" width="11.44140625" customWidth="1"/>
    <col min="10" max="10" width="20" customWidth="1"/>
    <col min="11" max="11" width="9.5546875" bestFit="1" customWidth="1"/>
    <col min="13" max="13" width="14.33203125" customWidth="1"/>
    <col min="14" max="14" width="11.44140625" customWidth="1"/>
  </cols>
  <sheetData>
    <row r="1" spans="2:14" ht="25.5" customHeight="1" x14ac:dyDescent="0.35">
      <c r="B1" s="17" t="s">
        <v>156</v>
      </c>
    </row>
    <row r="2" spans="2:14" ht="15" customHeight="1" x14ac:dyDescent="0.3">
      <c r="B2" s="27" t="s">
        <v>157</v>
      </c>
    </row>
    <row r="3" spans="2:14" ht="18" customHeight="1" x14ac:dyDescent="0.3"/>
    <row r="4" spans="2:14" x14ac:dyDescent="0.3">
      <c r="G4" s="3"/>
      <c r="J4" s="3"/>
      <c r="M4" s="3"/>
    </row>
    <row r="5" spans="2:14" x14ac:dyDescent="0.3">
      <c r="B5" s="36" t="s">
        <v>19</v>
      </c>
      <c r="C5" s="39" t="s">
        <v>68</v>
      </c>
      <c r="D5" s="39" t="s">
        <v>69</v>
      </c>
      <c r="E5" s="38" t="s">
        <v>158</v>
      </c>
      <c r="G5" s="108" t="s">
        <v>128</v>
      </c>
      <c r="H5" s="108"/>
      <c r="J5" s="108" t="s">
        <v>130</v>
      </c>
      <c r="K5" s="108"/>
      <c r="M5" s="108" t="s">
        <v>136</v>
      </c>
      <c r="N5" s="108"/>
    </row>
    <row r="6" spans="2:14" x14ac:dyDescent="0.3">
      <c r="B6" s="8">
        <v>1</v>
      </c>
      <c r="C6" s="8">
        <v>68.400000000000006</v>
      </c>
      <c r="D6" s="8">
        <v>90.2</v>
      </c>
      <c r="E6" s="8">
        <f>D6-C6</f>
        <v>21.799999999999997</v>
      </c>
      <c r="G6" s="19" t="s">
        <v>63</v>
      </c>
      <c r="H6" s="65">
        <f>COUNT(E6:E100)</f>
        <v>95</v>
      </c>
      <c r="J6" s="19" t="s">
        <v>131</v>
      </c>
      <c r="K6" s="76">
        <v>0.95</v>
      </c>
      <c r="M6" s="19" t="s">
        <v>137</v>
      </c>
      <c r="N6" s="69">
        <f>H7-K11</f>
        <v>3.3167348695585517</v>
      </c>
    </row>
    <row r="7" spans="2:14" x14ac:dyDescent="0.3">
      <c r="B7" s="8">
        <v>2</v>
      </c>
      <c r="C7" s="8">
        <v>62.1</v>
      </c>
      <c r="D7" s="8">
        <v>92.8</v>
      </c>
      <c r="E7" s="8">
        <f t="shared" ref="E7:E70" si="0">D7-C7</f>
        <v>30.699999999999996</v>
      </c>
      <c r="G7" s="19" t="s">
        <v>41</v>
      </c>
      <c r="H7" s="66">
        <f>AVERAGE(E6:E100)</f>
        <v>5.1957894736842114</v>
      </c>
      <c r="J7" s="19" t="s">
        <v>132</v>
      </c>
      <c r="K7" s="76">
        <f>1-K6</f>
        <v>5.0000000000000044E-2</v>
      </c>
      <c r="M7" s="19" t="s">
        <v>138</v>
      </c>
      <c r="N7" s="69">
        <f>H8+K11</f>
        <v>11.10320094402552</v>
      </c>
    </row>
    <row r="8" spans="2:14" x14ac:dyDescent="0.3">
      <c r="B8" s="8">
        <v>3</v>
      </c>
      <c r="C8" s="8">
        <v>70.2</v>
      </c>
      <c r="D8" s="8">
        <v>68.7</v>
      </c>
      <c r="E8" s="8">
        <f t="shared" si="0"/>
        <v>-1.5</v>
      </c>
      <c r="G8" s="19" t="s">
        <v>62</v>
      </c>
      <c r="H8" s="69">
        <f>_xlfn.STDEV.S(E6:E100)</f>
        <v>9.2241463398998604</v>
      </c>
      <c r="J8" s="19" t="s">
        <v>133</v>
      </c>
      <c r="K8" s="79">
        <f>K7/2</f>
        <v>2.5000000000000022E-2</v>
      </c>
    </row>
    <row r="9" spans="2:14" x14ac:dyDescent="0.3">
      <c r="B9" s="8">
        <v>4</v>
      </c>
      <c r="C9" s="8">
        <v>75.099999999999994</v>
      </c>
      <c r="D9" s="8">
        <v>80.7</v>
      </c>
      <c r="E9" s="8">
        <f t="shared" si="0"/>
        <v>5.6000000000000085</v>
      </c>
      <c r="J9" s="19" t="s">
        <v>144</v>
      </c>
      <c r="K9" s="80">
        <f>_xlfn.T.INV(1-K8,H6-1)</f>
        <v>1.9855234418666059</v>
      </c>
    </row>
    <row r="10" spans="2:14" x14ac:dyDescent="0.3">
      <c r="B10" s="8">
        <v>5</v>
      </c>
      <c r="C10" s="8">
        <v>60.9</v>
      </c>
      <c r="D10" s="8">
        <v>74.900000000000006</v>
      </c>
      <c r="E10" s="8">
        <f t="shared" si="0"/>
        <v>14.000000000000007</v>
      </c>
      <c r="J10" s="19" t="s">
        <v>135</v>
      </c>
      <c r="K10" s="69">
        <f>H8/SQRT(H6)</f>
        <v>0.94637744612027652</v>
      </c>
    </row>
    <row r="11" spans="2:14" x14ac:dyDescent="0.3">
      <c r="B11" s="8">
        <v>6</v>
      </c>
      <c r="C11" s="8">
        <v>74.5</v>
      </c>
      <c r="D11" s="8">
        <v>80.7</v>
      </c>
      <c r="E11" s="8">
        <f t="shared" si="0"/>
        <v>6.2000000000000028</v>
      </c>
      <c r="J11" s="19" t="s">
        <v>139</v>
      </c>
      <c r="K11" s="69">
        <f>K9*K10</f>
        <v>1.8790546041256597</v>
      </c>
    </row>
    <row r="12" spans="2:14" x14ac:dyDescent="0.3">
      <c r="B12" s="8">
        <v>7</v>
      </c>
      <c r="C12" s="8">
        <v>76.400000000000006</v>
      </c>
      <c r="D12" s="8">
        <v>83.3</v>
      </c>
      <c r="E12" s="8">
        <f t="shared" si="0"/>
        <v>6.8999999999999915</v>
      </c>
    </row>
    <row r="13" spans="2:14" x14ac:dyDescent="0.3">
      <c r="B13" s="8">
        <v>8</v>
      </c>
      <c r="C13" s="8">
        <v>82.6</v>
      </c>
      <c r="D13" s="8">
        <v>88.7</v>
      </c>
      <c r="E13" s="8">
        <f t="shared" si="0"/>
        <v>6.1000000000000085</v>
      </c>
    </row>
    <row r="14" spans="2:14" x14ac:dyDescent="0.3">
      <c r="B14" s="8">
        <v>9</v>
      </c>
      <c r="C14" s="8">
        <v>76.900000000000006</v>
      </c>
      <c r="D14" s="8">
        <v>75.400000000000006</v>
      </c>
      <c r="E14" s="8">
        <f t="shared" si="0"/>
        <v>-1.5</v>
      </c>
    </row>
    <row r="15" spans="2:14" x14ac:dyDescent="0.3">
      <c r="B15" s="8">
        <v>10</v>
      </c>
      <c r="C15" s="8">
        <v>83.3</v>
      </c>
      <c r="D15" s="8">
        <v>82.1</v>
      </c>
      <c r="E15" s="8">
        <f t="shared" si="0"/>
        <v>-1.2000000000000028</v>
      </c>
    </row>
    <row r="16" spans="2:14" x14ac:dyDescent="0.3">
      <c r="B16" s="8">
        <v>11</v>
      </c>
      <c r="C16" s="8">
        <v>75.8</v>
      </c>
      <c r="D16" s="8">
        <v>87.5</v>
      </c>
      <c r="E16" s="8">
        <f t="shared" si="0"/>
        <v>11.700000000000003</v>
      </c>
    </row>
    <row r="17" spans="2:5" x14ac:dyDescent="0.3">
      <c r="B17" s="8">
        <v>12</v>
      </c>
      <c r="C17" s="8">
        <v>76</v>
      </c>
      <c r="D17" s="8">
        <v>66.900000000000006</v>
      </c>
      <c r="E17" s="8">
        <f t="shared" si="0"/>
        <v>-9.0999999999999943</v>
      </c>
    </row>
    <row r="18" spans="2:5" x14ac:dyDescent="0.3">
      <c r="B18" s="8">
        <v>13</v>
      </c>
      <c r="C18" s="8">
        <v>62.8</v>
      </c>
      <c r="D18" s="8">
        <v>71.3</v>
      </c>
      <c r="E18" s="8">
        <f t="shared" si="0"/>
        <v>8.5</v>
      </c>
    </row>
    <row r="19" spans="2:5" x14ac:dyDescent="0.3">
      <c r="B19" s="8">
        <v>14</v>
      </c>
      <c r="C19" s="8">
        <v>82.8</v>
      </c>
      <c r="D19" s="8">
        <v>76.8</v>
      </c>
      <c r="E19" s="8">
        <f t="shared" si="0"/>
        <v>-6</v>
      </c>
    </row>
    <row r="20" spans="2:5" x14ac:dyDescent="0.3">
      <c r="B20" s="8">
        <v>15</v>
      </c>
      <c r="C20" s="8">
        <v>76</v>
      </c>
      <c r="D20" s="8">
        <v>72.3</v>
      </c>
      <c r="E20" s="8">
        <f t="shared" si="0"/>
        <v>-3.7000000000000028</v>
      </c>
    </row>
    <row r="21" spans="2:5" x14ac:dyDescent="0.3">
      <c r="B21" s="8">
        <v>16</v>
      </c>
      <c r="C21" s="8">
        <v>76.900000000000006</v>
      </c>
      <c r="D21" s="8">
        <v>72.400000000000006</v>
      </c>
      <c r="E21" s="8">
        <f t="shared" si="0"/>
        <v>-4.5</v>
      </c>
    </row>
    <row r="22" spans="2:5" x14ac:dyDescent="0.3">
      <c r="B22" s="8">
        <v>17</v>
      </c>
      <c r="C22" s="8">
        <v>75.8</v>
      </c>
      <c r="D22" s="8">
        <v>72</v>
      </c>
      <c r="E22" s="8">
        <f t="shared" si="0"/>
        <v>-3.7999999999999972</v>
      </c>
    </row>
    <row r="23" spans="2:5" x14ac:dyDescent="0.3">
      <c r="B23" s="8">
        <v>18</v>
      </c>
      <c r="C23" s="8">
        <v>78</v>
      </c>
      <c r="D23" s="8">
        <v>81</v>
      </c>
      <c r="E23" s="8">
        <f t="shared" si="0"/>
        <v>3</v>
      </c>
    </row>
    <row r="24" spans="2:5" x14ac:dyDescent="0.3">
      <c r="B24" s="8">
        <v>19</v>
      </c>
      <c r="C24" s="8">
        <v>82.4</v>
      </c>
      <c r="D24" s="8">
        <v>96.1</v>
      </c>
      <c r="E24" s="8">
        <f t="shared" si="0"/>
        <v>13.699999999999989</v>
      </c>
    </row>
    <row r="25" spans="2:5" x14ac:dyDescent="0.3">
      <c r="B25" s="8">
        <v>20</v>
      </c>
      <c r="C25" s="8">
        <v>76.2</v>
      </c>
      <c r="D25" s="8">
        <v>76.7</v>
      </c>
      <c r="E25" s="8">
        <f t="shared" si="0"/>
        <v>0.5</v>
      </c>
    </row>
    <row r="26" spans="2:5" x14ac:dyDescent="0.3">
      <c r="B26" s="8">
        <v>21</v>
      </c>
      <c r="C26" s="8">
        <v>62.5</v>
      </c>
      <c r="D26" s="8">
        <v>80.3</v>
      </c>
      <c r="E26" s="8">
        <f t="shared" si="0"/>
        <v>17.799999999999997</v>
      </c>
    </row>
    <row r="27" spans="2:5" x14ac:dyDescent="0.3">
      <c r="B27" s="8">
        <v>22</v>
      </c>
      <c r="C27" s="8">
        <v>78</v>
      </c>
      <c r="D27" s="8">
        <v>77.8</v>
      </c>
      <c r="E27" s="8">
        <f t="shared" si="0"/>
        <v>-0.20000000000000284</v>
      </c>
    </row>
    <row r="28" spans="2:5" x14ac:dyDescent="0.3">
      <c r="B28" s="8">
        <v>23</v>
      </c>
      <c r="C28" s="8">
        <v>66.5</v>
      </c>
      <c r="D28" s="8">
        <v>62.6</v>
      </c>
      <c r="E28" s="8">
        <f t="shared" si="0"/>
        <v>-3.8999999999999986</v>
      </c>
    </row>
    <row r="29" spans="2:5" x14ac:dyDescent="0.3">
      <c r="B29" s="8">
        <v>24</v>
      </c>
      <c r="C29" s="8">
        <v>63.5</v>
      </c>
      <c r="D29" s="8">
        <v>80.2</v>
      </c>
      <c r="E29" s="8">
        <f t="shared" si="0"/>
        <v>16.700000000000003</v>
      </c>
    </row>
    <row r="30" spans="2:5" x14ac:dyDescent="0.3">
      <c r="B30" s="8">
        <v>25</v>
      </c>
      <c r="C30" s="8">
        <v>82.6</v>
      </c>
      <c r="D30" s="8">
        <v>79.099999999999994</v>
      </c>
      <c r="E30" s="8">
        <f t="shared" si="0"/>
        <v>-3.5</v>
      </c>
    </row>
    <row r="31" spans="2:5" x14ac:dyDescent="0.3">
      <c r="B31" s="8">
        <v>26</v>
      </c>
      <c r="C31" s="8">
        <v>79.2</v>
      </c>
      <c r="D31" s="8">
        <v>77.8</v>
      </c>
      <c r="E31" s="8">
        <f t="shared" si="0"/>
        <v>-1.4000000000000057</v>
      </c>
    </row>
    <row r="32" spans="2:5" x14ac:dyDescent="0.3">
      <c r="B32" s="8">
        <v>27</v>
      </c>
      <c r="C32" s="8">
        <v>75</v>
      </c>
      <c r="D32" s="8">
        <v>75.099999999999994</v>
      </c>
      <c r="E32" s="8">
        <f t="shared" si="0"/>
        <v>9.9999999999994316E-2</v>
      </c>
    </row>
    <row r="33" spans="2:5" x14ac:dyDescent="0.3">
      <c r="B33" s="8">
        <v>28</v>
      </c>
      <c r="C33" s="8">
        <v>74.400000000000006</v>
      </c>
      <c r="D33" s="8">
        <v>82.2</v>
      </c>
      <c r="E33" s="8">
        <f t="shared" si="0"/>
        <v>7.7999999999999972</v>
      </c>
    </row>
    <row r="34" spans="2:5" x14ac:dyDescent="0.3">
      <c r="B34" s="8">
        <v>29</v>
      </c>
      <c r="C34" s="8">
        <v>67.900000000000006</v>
      </c>
      <c r="D34" s="8">
        <v>70.5</v>
      </c>
      <c r="E34" s="8">
        <f t="shared" si="0"/>
        <v>2.5999999999999943</v>
      </c>
    </row>
    <row r="35" spans="2:5" x14ac:dyDescent="0.3">
      <c r="B35" s="8">
        <v>30</v>
      </c>
      <c r="C35" s="8">
        <v>76.8</v>
      </c>
      <c r="D35" s="8">
        <v>70.8</v>
      </c>
      <c r="E35" s="8">
        <f t="shared" si="0"/>
        <v>-6</v>
      </c>
    </row>
    <row r="36" spans="2:5" x14ac:dyDescent="0.3">
      <c r="B36" s="8">
        <v>31</v>
      </c>
      <c r="C36" s="8">
        <v>83</v>
      </c>
      <c r="D36" s="8">
        <v>87.5</v>
      </c>
      <c r="E36" s="8">
        <f t="shared" si="0"/>
        <v>4.5</v>
      </c>
    </row>
    <row r="37" spans="2:5" x14ac:dyDescent="0.3">
      <c r="B37" s="8">
        <v>32</v>
      </c>
      <c r="C37" s="8">
        <v>88.9</v>
      </c>
      <c r="D37" s="8">
        <v>79.5</v>
      </c>
      <c r="E37" s="8">
        <f t="shared" si="0"/>
        <v>-9.4000000000000057</v>
      </c>
    </row>
    <row r="38" spans="2:5" x14ac:dyDescent="0.3">
      <c r="B38" s="8">
        <v>33</v>
      </c>
      <c r="C38" s="8">
        <v>76.5</v>
      </c>
      <c r="D38" s="8">
        <v>80.8</v>
      </c>
      <c r="E38" s="8">
        <f t="shared" si="0"/>
        <v>4.2999999999999972</v>
      </c>
    </row>
    <row r="39" spans="2:5" x14ac:dyDescent="0.3">
      <c r="B39" s="8">
        <v>34</v>
      </c>
      <c r="C39" s="8">
        <v>79.900000000000006</v>
      </c>
      <c r="D39" s="8">
        <v>79.599999999999994</v>
      </c>
      <c r="E39" s="8">
        <f t="shared" si="0"/>
        <v>-0.30000000000001137</v>
      </c>
    </row>
    <row r="40" spans="2:5" x14ac:dyDescent="0.3">
      <c r="B40" s="8">
        <v>35</v>
      </c>
      <c r="C40" s="8">
        <v>70.400000000000006</v>
      </c>
      <c r="D40" s="8">
        <v>88.9</v>
      </c>
      <c r="E40" s="8">
        <f t="shared" si="0"/>
        <v>18.5</v>
      </c>
    </row>
    <row r="41" spans="2:5" x14ac:dyDescent="0.3">
      <c r="B41" s="8">
        <v>36</v>
      </c>
      <c r="C41" s="8">
        <v>83.4</v>
      </c>
      <c r="D41" s="8">
        <v>85.9</v>
      </c>
      <c r="E41" s="8">
        <f t="shared" si="0"/>
        <v>2.5</v>
      </c>
    </row>
    <row r="42" spans="2:5" x14ac:dyDescent="0.3">
      <c r="B42" s="8">
        <v>37</v>
      </c>
      <c r="C42" s="8">
        <v>79.2</v>
      </c>
      <c r="D42" s="8">
        <v>82.3</v>
      </c>
      <c r="E42" s="8">
        <f t="shared" si="0"/>
        <v>3.0999999999999943</v>
      </c>
    </row>
    <row r="43" spans="2:5" x14ac:dyDescent="0.3">
      <c r="B43" s="8">
        <v>38</v>
      </c>
      <c r="C43" s="8">
        <v>61.2</v>
      </c>
      <c r="D43" s="8">
        <v>76.7</v>
      </c>
      <c r="E43" s="8">
        <f t="shared" si="0"/>
        <v>15.5</v>
      </c>
    </row>
    <row r="44" spans="2:5" x14ac:dyDescent="0.3">
      <c r="B44" s="8">
        <v>39</v>
      </c>
      <c r="C44" s="8">
        <v>64</v>
      </c>
      <c r="D44" s="8">
        <v>79.900000000000006</v>
      </c>
      <c r="E44" s="8">
        <f t="shared" si="0"/>
        <v>15.900000000000006</v>
      </c>
    </row>
    <row r="45" spans="2:5" x14ac:dyDescent="0.3">
      <c r="B45" s="8">
        <v>40</v>
      </c>
      <c r="C45" s="8">
        <v>68</v>
      </c>
      <c r="D45" s="8">
        <v>86.2</v>
      </c>
      <c r="E45" s="8">
        <f t="shared" si="0"/>
        <v>18.200000000000003</v>
      </c>
    </row>
    <row r="46" spans="2:5" x14ac:dyDescent="0.3">
      <c r="B46" s="8">
        <v>41</v>
      </c>
      <c r="C46" s="8">
        <v>78.5</v>
      </c>
      <c r="D46" s="8">
        <v>79.2</v>
      </c>
      <c r="E46" s="8">
        <f t="shared" si="0"/>
        <v>0.70000000000000284</v>
      </c>
    </row>
    <row r="47" spans="2:5" x14ac:dyDescent="0.3">
      <c r="B47" s="8">
        <v>42</v>
      </c>
      <c r="C47" s="8">
        <v>83</v>
      </c>
      <c r="D47" s="8">
        <v>83.4</v>
      </c>
      <c r="E47" s="8">
        <f t="shared" si="0"/>
        <v>0.40000000000000568</v>
      </c>
    </row>
    <row r="48" spans="2:5" x14ac:dyDescent="0.3">
      <c r="B48" s="8">
        <v>43</v>
      </c>
      <c r="C48" s="8">
        <v>75.2</v>
      </c>
      <c r="D48" s="8">
        <v>85.2</v>
      </c>
      <c r="E48" s="8">
        <f t="shared" si="0"/>
        <v>10</v>
      </c>
    </row>
    <row r="49" spans="2:5" x14ac:dyDescent="0.3">
      <c r="B49" s="8">
        <v>44</v>
      </c>
      <c r="C49" s="8">
        <v>68.099999999999994</v>
      </c>
      <c r="D49" s="8">
        <v>77.8</v>
      </c>
      <c r="E49" s="8">
        <f t="shared" si="0"/>
        <v>9.7000000000000028</v>
      </c>
    </row>
    <row r="50" spans="2:5" x14ac:dyDescent="0.3">
      <c r="B50" s="8">
        <v>45</v>
      </c>
      <c r="C50" s="8">
        <v>93.6</v>
      </c>
      <c r="D50" s="8">
        <v>80.2</v>
      </c>
      <c r="E50" s="8">
        <f t="shared" si="0"/>
        <v>-13.399999999999991</v>
      </c>
    </row>
    <row r="51" spans="2:5" x14ac:dyDescent="0.3">
      <c r="B51" s="8">
        <v>46</v>
      </c>
      <c r="C51" s="8">
        <v>75.599999999999994</v>
      </c>
      <c r="D51" s="8">
        <v>71</v>
      </c>
      <c r="E51" s="8">
        <f t="shared" si="0"/>
        <v>-4.5999999999999943</v>
      </c>
    </row>
    <row r="52" spans="2:5" x14ac:dyDescent="0.3">
      <c r="B52" s="8">
        <v>47</v>
      </c>
      <c r="C52" s="8">
        <v>82.3</v>
      </c>
      <c r="D52" s="8">
        <v>87.2</v>
      </c>
      <c r="E52" s="8">
        <f t="shared" si="0"/>
        <v>4.9000000000000057</v>
      </c>
    </row>
    <row r="53" spans="2:5" x14ac:dyDescent="0.3">
      <c r="B53" s="8">
        <v>48</v>
      </c>
      <c r="C53" s="8">
        <v>71.400000000000006</v>
      </c>
      <c r="D53" s="8">
        <v>82.9</v>
      </c>
      <c r="E53" s="8">
        <f t="shared" si="0"/>
        <v>11.5</v>
      </c>
    </row>
    <row r="54" spans="2:5" x14ac:dyDescent="0.3">
      <c r="B54" s="8">
        <v>49</v>
      </c>
      <c r="C54" s="8">
        <v>71.900000000000006</v>
      </c>
      <c r="D54" s="8">
        <v>73.5</v>
      </c>
      <c r="E54" s="8">
        <f t="shared" si="0"/>
        <v>1.5999999999999943</v>
      </c>
    </row>
    <row r="55" spans="2:5" x14ac:dyDescent="0.3">
      <c r="B55" s="8">
        <v>50</v>
      </c>
      <c r="C55" s="8">
        <v>79.099999999999994</v>
      </c>
      <c r="D55" s="8">
        <v>74.599999999999994</v>
      </c>
      <c r="E55" s="8">
        <f t="shared" si="0"/>
        <v>-4.5</v>
      </c>
    </row>
    <row r="56" spans="2:5" x14ac:dyDescent="0.3">
      <c r="B56" s="8">
        <v>51</v>
      </c>
      <c r="C56" s="8">
        <v>88.7</v>
      </c>
      <c r="D56" s="8">
        <v>75.099999999999994</v>
      </c>
      <c r="E56" s="8">
        <f t="shared" si="0"/>
        <v>-13.600000000000009</v>
      </c>
    </row>
    <row r="57" spans="2:5" x14ac:dyDescent="0.3">
      <c r="B57" s="8">
        <v>52</v>
      </c>
      <c r="C57" s="8">
        <v>69.400000000000006</v>
      </c>
      <c r="D57" s="8">
        <v>85.1</v>
      </c>
      <c r="E57" s="8">
        <f t="shared" si="0"/>
        <v>15.699999999999989</v>
      </c>
    </row>
    <row r="58" spans="2:5" x14ac:dyDescent="0.3">
      <c r="B58" s="8">
        <v>53</v>
      </c>
      <c r="C58" s="8">
        <v>80.3</v>
      </c>
      <c r="D58" s="8">
        <v>74.900000000000006</v>
      </c>
      <c r="E58" s="8">
        <f t="shared" si="0"/>
        <v>-5.3999999999999915</v>
      </c>
    </row>
    <row r="59" spans="2:5" x14ac:dyDescent="0.3">
      <c r="B59" s="8">
        <v>54</v>
      </c>
      <c r="C59" s="8">
        <v>83</v>
      </c>
      <c r="D59" s="8">
        <v>84.6</v>
      </c>
      <c r="E59" s="8">
        <f t="shared" si="0"/>
        <v>1.5999999999999943</v>
      </c>
    </row>
    <row r="60" spans="2:5" x14ac:dyDescent="0.3">
      <c r="B60" s="8">
        <v>55</v>
      </c>
      <c r="C60" s="8">
        <v>74.099999999999994</v>
      </c>
      <c r="D60" s="8">
        <v>81.7</v>
      </c>
      <c r="E60" s="8">
        <f t="shared" si="0"/>
        <v>7.6000000000000085</v>
      </c>
    </row>
    <row r="61" spans="2:5" x14ac:dyDescent="0.3">
      <c r="B61" s="8">
        <v>56</v>
      </c>
      <c r="C61" s="8">
        <v>79.400000000000006</v>
      </c>
      <c r="D61" s="8">
        <v>81.400000000000006</v>
      </c>
      <c r="E61" s="8">
        <f t="shared" si="0"/>
        <v>2</v>
      </c>
    </row>
    <row r="62" spans="2:5" x14ac:dyDescent="0.3">
      <c r="B62" s="8">
        <v>57</v>
      </c>
      <c r="C62" s="8">
        <v>88.1</v>
      </c>
      <c r="D62" s="8">
        <v>83.8</v>
      </c>
      <c r="E62" s="8">
        <f t="shared" si="0"/>
        <v>-4.2999999999999972</v>
      </c>
    </row>
    <row r="63" spans="2:5" x14ac:dyDescent="0.3">
      <c r="B63" s="8">
        <v>58</v>
      </c>
      <c r="C63" s="8">
        <v>74.599999999999994</v>
      </c>
      <c r="D63" s="8">
        <v>88.5</v>
      </c>
      <c r="E63" s="8">
        <f t="shared" si="0"/>
        <v>13.900000000000006</v>
      </c>
    </row>
    <row r="64" spans="2:5" x14ac:dyDescent="0.3">
      <c r="B64" s="8">
        <v>59</v>
      </c>
      <c r="C64" s="8">
        <v>87.1</v>
      </c>
      <c r="D64" s="8">
        <v>84.9</v>
      </c>
      <c r="E64" s="8">
        <f t="shared" si="0"/>
        <v>-2.1999999999999886</v>
      </c>
    </row>
    <row r="65" spans="2:5" x14ac:dyDescent="0.3">
      <c r="B65" s="8">
        <v>60</v>
      </c>
      <c r="C65" s="8">
        <v>79.7</v>
      </c>
      <c r="D65" s="8">
        <v>84.3</v>
      </c>
      <c r="E65" s="8">
        <f t="shared" si="0"/>
        <v>4.5999999999999943</v>
      </c>
    </row>
    <row r="66" spans="2:5" x14ac:dyDescent="0.3">
      <c r="B66" s="8">
        <v>61</v>
      </c>
      <c r="C66" s="8">
        <v>82.1</v>
      </c>
      <c r="D66" s="8">
        <v>78.2</v>
      </c>
      <c r="E66" s="8">
        <f t="shared" si="0"/>
        <v>-3.8999999999999915</v>
      </c>
    </row>
    <row r="67" spans="2:5" x14ac:dyDescent="0.3">
      <c r="B67" s="8">
        <v>62</v>
      </c>
      <c r="C67" s="8">
        <v>70.2</v>
      </c>
      <c r="D67" s="8">
        <v>80</v>
      </c>
      <c r="E67" s="8">
        <f t="shared" si="0"/>
        <v>9.7999999999999972</v>
      </c>
    </row>
    <row r="68" spans="2:5" x14ac:dyDescent="0.3">
      <c r="B68" s="8">
        <v>63</v>
      </c>
      <c r="C68" s="8">
        <v>81.7</v>
      </c>
      <c r="D68" s="8">
        <v>74.8</v>
      </c>
      <c r="E68" s="8">
        <f t="shared" si="0"/>
        <v>-6.9000000000000057</v>
      </c>
    </row>
    <row r="69" spans="2:5" x14ac:dyDescent="0.3">
      <c r="B69" s="8">
        <v>64</v>
      </c>
      <c r="C69" s="8">
        <v>76.099999999999994</v>
      </c>
      <c r="D69" s="8">
        <v>78.5</v>
      </c>
      <c r="E69" s="8">
        <f t="shared" si="0"/>
        <v>2.4000000000000057</v>
      </c>
    </row>
    <row r="70" spans="2:5" x14ac:dyDescent="0.3">
      <c r="B70" s="8">
        <v>65</v>
      </c>
      <c r="C70" s="8">
        <v>65.400000000000006</v>
      </c>
      <c r="D70" s="8">
        <v>71.8</v>
      </c>
      <c r="E70" s="8">
        <f t="shared" si="0"/>
        <v>6.3999999999999915</v>
      </c>
    </row>
    <row r="71" spans="2:5" x14ac:dyDescent="0.3">
      <c r="B71" s="8">
        <v>66</v>
      </c>
      <c r="C71" s="8">
        <v>70.099999999999994</v>
      </c>
      <c r="D71" s="8">
        <v>69.900000000000006</v>
      </c>
      <c r="E71" s="8">
        <f t="shared" ref="E71:E100" si="1">D71-C71</f>
        <v>-0.19999999999998863</v>
      </c>
    </row>
    <row r="72" spans="2:5" x14ac:dyDescent="0.3">
      <c r="B72" s="8">
        <v>67</v>
      </c>
      <c r="C72" s="8">
        <v>75.3</v>
      </c>
      <c r="D72" s="8">
        <v>82.7</v>
      </c>
      <c r="E72" s="8">
        <f t="shared" si="1"/>
        <v>7.4000000000000057</v>
      </c>
    </row>
    <row r="73" spans="2:5" x14ac:dyDescent="0.3">
      <c r="B73" s="8">
        <v>68</v>
      </c>
      <c r="C73" s="8">
        <v>68.7</v>
      </c>
      <c r="D73" s="8">
        <v>74</v>
      </c>
      <c r="E73" s="8">
        <f t="shared" si="1"/>
        <v>5.2999999999999972</v>
      </c>
    </row>
    <row r="74" spans="2:5" x14ac:dyDescent="0.3">
      <c r="B74" s="8">
        <v>69</v>
      </c>
      <c r="C74" s="8">
        <v>75.7</v>
      </c>
      <c r="D74" s="8">
        <v>84</v>
      </c>
      <c r="E74" s="8">
        <f t="shared" si="1"/>
        <v>8.2999999999999972</v>
      </c>
    </row>
    <row r="75" spans="2:5" x14ac:dyDescent="0.3">
      <c r="B75" s="8">
        <v>70</v>
      </c>
      <c r="C75" s="8">
        <v>68.7</v>
      </c>
      <c r="D75" s="8">
        <v>84.7</v>
      </c>
      <c r="E75" s="8">
        <f t="shared" si="1"/>
        <v>16</v>
      </c>
    </row>
    <row r="76" spans="2:5" x14ac:dyDescent="0.3">
      <c r="B76" s="8">
        <v>71</v>
      </c>
      <c r="C76" s="8">
        <v>70.400000000000006</v>
      </c>
      <c r="D76" s="8">
        <v>78.2</v>
      </c>
      <c r="E76" s="8">
        <f t="shared" si="1"/>
        <v>7.7999999999999972</v>
      </c>
    </row>
    <row r="77" spans="2:5" x14ac:dyDescent="0.3">
      <c r="B77" s="8">
        <v>72</v>
      </c>
      <c r="C77" s="8">
        <v>68.3</v>
      </c>
      <c r="D77" s="8">
        <v>85</v>
      </c>
      <c r="E77" s="8">
        <f t="shared" si="1"/>
        <v>16.700000000000003</v>
      </c>
    </row>
    <row r="78" spans="2:5" x14ac:dyDescent="0.3">
      <c r="B78" s="8">
        <v>73</v>
      </c>
      <c r="C78" s="8">
        <v>71.7</v>
      </c>
      <c r="D78" s="8">
        <v>80.099999999999994</v>
      </c>
      <c r="E78" s="8">
        <f t="shared" si="1"/>
        <v>8.3999999999999915</v>
      </c>
    </row>
    <row r="79" spans="2:5" x14ac:dyDescent="0.3">
      <c r="B79" s="8">
        <v>74</v>
      </c>
      <c r="C79" s="8">
        <v>70.900000000000006</v>
      </c>
      <c r="D79" s="8">
        <v>85.3</v>
      </c>
      <c r="E79" s="8">
        <f t="shared" si="1"/>
        <v>14.399999999999991</v>
      </c>
    </row>
    <row r="80" spans="2:5" x14ac:dyDescent="0.3">
      <c r="B80" s="8">
        <v>75</v>
      </c>
      <c r="C80" s="8">
        <v>66.3</v>
      </c>
      <c r="D80" s="8">
        <v>79.7</v>
      </c>
      <c r="E80" s="8">
        <f t="shared" si="1"/>
        <v>13.400000000000006</v>
      </c>
    </row>
    <row r="81" spans="2:5" x14ac:dyDescent="0.3">
      <c r="B81" s="8">
        <v>76</v>
      </c>
      <c r="C81" s="8">
        <v>65.3</v>
      </c>
      <c r="D81" s="8">
        <v>79.599999999999994</v>
      </c>
      <c r="E81" s="8">
        <f t="shared" si="1"/>
        <v>14.299999999999997</v>
      </c>
    </row>
    <row r="82" spans="2:5" x14ac:dyDescent="0.3">
      <c r="B82" s="8">
        <v>77</v>
      </c>
      <c r="C82" s="8">
        <v>75.7</v>
      </c>
      <c r="D82" s="8">
        <v>78.900000000000006</v>
      </c>
      <c r="E82" s="8">
        <f t="shared" si="1"/>
        <v>3.2000000000000028</v>
      </c>
    </row>
    <row r="83" spans="2:5" x14ac:dyDescent="0.3">
      <c r="B83" s="8">
        <v>78</v>
      </c>
      <c r="C83" s="8">
        <v>66</v>
      </c>
      <c r="D83" s="8">
        <v>78.5</v>
      </c>
      <c r="E83" s="8">
        <f t="shared" si="1"/>
        <v>12.5</v>
      </c>
    </row>
    <row r="84" spans="2:5" x14ac:dyDescent="0.3">
      <c r="B84" s="8">
        <v>79</v>
      </c>
      <c r="C84" s="8">
        <v>78.900000000000006</v>
      </c>
      <c r="D84" s="8">
        <v>72</v>
      </c>
      <c r="E84" s="8">
        <f t="shared" si="1"/>
        <v>-6.9000000000000057</v>
      </c>
    </row>
    <row r="85" spans="2:5" x14ac:dyDescent="0.3">
      <c r="B85" s="8">
        <v>80</v>
      </c>
      <c r="C85" s="8">
        <v>74</v>
      </c>
      <c r="D85" s="8">
        <v>74.2</v>
      </c>
      <c r="E85" s="8">
        <f t="shared" si="1"/>
        <v>0.20000000000000284</v>
      </c>
    </row>
    <row r="86" spans="2:5" x14ac:dyDescent="0.3">
      <c r="B86" s="8">
        <v>81</v>
      </c>
      <c r="C86" s="8">
        <v>74.599999999999994</v>
      </c>
      <c r="D86" s="8">
        <v>71.7</v>
      </c>
      <c r="E86" s="8">
        <f t="shared" si="1"/>
        <v>-2.8999999999999915</v>
      </c>
    </row>
    <row r="87" spans="2:5" x14ac:dyDescent="0.3">
      <c r="B87" s="8">
        <v>82</v>
      </c>
      <c r="C87" s="8">
        <v>79.3</v>
      </c>
      <c r="D87" s="8">
        <v>80.7</v>
      </c>
      <c r="E87" s="8">
        <f t="shared" si="1"/>
        <v>1.4000000000000057</v>
      </c>
    </row>
    <row r="88" spans="2:5" x14ac:dyDescent="0.3">
      <c r="B88" s="8">
        <v>83</v>
      </c>
      <c r="C88" s="8">
        <v>70.099999999999994</v>
      </c>
      <c r="D88" s="8">
        <v>84.1</v>
      </c>
      <c r="E88" s="8">
        <f t="shared" si="1"/>
        <v>14</v>
      </c>
    </row>
    <row r="89" spans="2:5" x14ac:dyDescent="0.3">
      <c r="B89" s="8">
        <v>84</v>
      </c>
      <c r="C89" s="8">
        <v>88.8</v>
      </c>
      <c r="D89" s="8">
        <v>87.4</v>
      </c>
      <c r="E89" s="8">
        <f t="shared" si="1"/>
        <v>-1.3999999999999915</v>
      </c>
    </row>
    <row r="90" spans="2:5" x14ac:dyDescent="0.3">
      <c r="B90" s="8">
        <v>85</v>
      </c>
      <c r="C90" s="8">
        <v>66</v>
      </c>
      <c r="D90" s="8">
        <v>77.400000000000006</v>
      </c>
      <c r="E90" s="8">
        <f t="shared" si="1"/>
        <v>11.400000000000006</v>
      </c>
    </row>
    <row r="91" spans="2:5" x14ac:dyDescent="0.3">
      <c r="B91" s="8">
        <v>86</v>
      </c>
      <c r="C91" s="8">
        <v>82.9</v>
      </c>
      <c r="D91" s="8">
        <v>84.7</v>
      </c>
      <c r="E91" s="8">
        <f t="shared" si="1"/>
        <v>1.7999999999999972</v>
      </c>
    </row>
    <row r="92" spans="2:5" x14ac:dyDescent="0.3">
      <c r="B92" s="8">
        <v>87</v>
      </c>
      <c r="C92" s="8">
        <v>100</v>
      </c>
      <c r="D92" s="8">
        <v>78.8</v>
      </c>
      <c r="E92" s="8">
        <f t="shared" si="1"/>
        <v>-21.200000000000003</v>
      </c>
    </row>
    <row r="93" spans="2:5" x14ac:dyDescent="0.3">
      <c r="B93" s="8">
        <v>88</v>
      </c>
      <c r="C93" s="8">
        <v>75.599999999999994</v>
      </c>
      <c r="D93" s="8">
        <v>92.7</v>
      </c>
      <c r="E93" s="8">
        <f t="shared" si="1"/>
        <v>17.100000000000009</v>
      </c>
    </row>
    <row r="94" spans="2:5" x14ac:dyDescent="0.3">
      <c r="B94" s="8">
        <v>89</v>
      </c>
      <c r="C94" s="8">
        <v>67.5</v>
      </c>
      <c r="D94" s="8">
        <v>88.8</v>
      </c>
      <c r="E94" s="8">
        <f t="shared" si="1"/>
        <v>21.299999999999997</v>
      </c>
    </row>
    <row r="95" spans="2:5" x14ac:dyDescent="0.3">
      <c r="B95" s="8">
        <v>90</v>
      </c>
      <c r="C95" s="8">
        <v>68.7</v>
      </c>
      <c r="D95" s="8">
        <v>86.6</v>
      </c>
      <c r="E95" s="8">
        <f t="shared" si="1"/>
        <v>17.899999999999991</v>
      </c>
    </row>
    <row r="96" spans="2:5" x14ac:dyDescent="0.3">
      <c r="B96" s="8">
        <v>91</v>
      </c>
      <c r="C96" s="8">
        <v>76</v>
      </c>
      <c r="D96" s="8">
        <v>77.900000000000006</v>
      </c>
      <c r="E96" s="8">
        <f t="shared" si="1"/>
        <v>1.9000000000000057</v>
      </c>
    </row>
    <row r="97" spans="2:5" x14ac:dyDescent="0.3">
      <c r="B97" s="8">
        <v>92</v>
      </c>
      <c r="C97" s="8">
        <v>67.7</v>
      </c>
      <c r="D97" s="8">
        <v>86.1</v>
      </c>
      <c r="E97" s="8">
        <f t="shared" si="1"/>
        <v>18.399999999999991</v>
      </c>
    </row>
    <row r="98" spans="2:5" x14ac:dyDescent="0.3">
      <c r="B98" s="8">
        <v>93</v>
      </c>
      <c r="C98" s="8">
        <v>75.3</v>
      </c>
      <c r="D98" s="8">
        <v>89.9</v>
      </c>
      <c r="E98" s="8">
        <f t="shared" si="1"/>
        <v>14.600000000000009</v>
      </c>
    </row>
    <row r="99" spans="2:5" x14ac:dyDescent="0.3">
      <c r="B99" s="8">
        <v>94</v>
      </c>
      <c r="C99" s="8">
        <v>68.099999999999994</v>
      </c>
      <c r="D99" s="8">
        <v>83.1</v>
      </c>
      <c r="E99" s="8">
        <f t="shared" si="1"/>
        <v>15</v>
      </c>
    </row>
    <row r="100" spans="2:5" x14ac:dyDescent="0.3">
      <c r="B100" s="8">
        <v>95</v>
      </c>
      <c r="C100" s="8">
        <v>63.3</v>
      </c>
      <c r="D100" s="8">
        <v>82.6</v>
      </c>
      <c r="E100" s="8">
        <f t="shared" si="1"/>
        <v>19.299999999999997</v>
      </c>
    </row>
  </sheetData>
  <mergeCells count="3">
    <mergeCell ref="G5:H5"/>
    <mergeCell ref="J5:K5"/>
    <mergeCell ref="M5:N5"/>
  </mergeCell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1FF48-FD83-4A2D-88DA-651A4D97233E}">
  <sheetPr codeName="Sheet34">
    <tabColor theme="9" tint="0.59999389629810485"/>
  </sheetPr>
  <dimension ref="B1:N100"/>
  <sheetViews>
    <sheetView showGridLines="0" workbookViewId="0">
      <selection activeCell="N8" sqref="N8"/>
    </sheetView>
  </sheetViews>
  <sheetFormatPr defaultRowHeight="14.4" x14ac:dyDescent="0.3"/>
  <cols>
    <col min="1" max="1" width="2.88671875" customWidth="1"/>
    <col min="2" max="2" width="11.44140625" customWidth="1"/>
    <col min="3" max="3" width="21.44140625" customWidth="1"/>
    <col min="4" max="4" width="20" customWidth="1"/>
    <col min="5" max="5" width="11.44140625" customWidth="1"/>
    <col min="7" max="7" width="12.109375" customWidth="1"/>
    <col min="8" max="8" width="11.44140625" customWidth="1"/>
    <col min="10" max="10" width="20" customWidth="1"/>
    <col min="11" max="11" width="9.5546875" bestFit="1" customWidth="1"/>
    <col min="13" max="13" width="14.33203125" customWidth="1"/>
    <col min="14" max="14" width="11.44140625" customWidth="1"/>
  </cols>
  <sheetData>
    <row r="1" spans="2:14" ht="25.5" customHeight="1" x14ac:dyDescent="0.35">
      <c r="B1" s="17" t="s">
        <v>159</v>
      </c>
    </row>
    <row r="2" spans="2:14" ht="15" customHeight="1" x14ac:dyDescent="0.3">
      <c r="B2" s="27" t="s">
        <v>271</v>
      </c>
    </row>
    <row r="3" spans="2:14" ht="18" customHeight="1" x14ac:dyDescent="0.3"/>
    <row r="4" spans="2:14" x14ac:dyDescent="0.3">
      <c r="G4" s="3"/>
      <c r="J4" s="3"/>
      <c r="M4" s="3"/>
    </row>
    <row r="5" spans="2:14" x14ac:dyDescent="0.3">
      <c r="B5" s="36" t="s">
        <v>19</v>
      </c>
      <c r="C5" s="39" t="s">
        <v>21</v>
      </c>
      <c r="D5" s="39" t="s">
        <v>22</v>
      </c>
      <c r="E5" s="37" t="s">
        <v>158</v>
      </c>
      <c r="G5" s="108" t="s">
        <v>128</v>
      </c>
      <c r="H5" s="108"/>
      <c r="J5" s="108" t="s">
        <v>130</v>
      </c>
      <c r="K5" s="108"/>
      <c r="M5" s="108" t="s">
        <v>136</v>
      </c>
      <c r="N5" s="108"/>
    </row>
    <row r="6" spans="2:14" x14ac:dyDescent="0.3">
      <c r="B6" s="8">
        <v>1</v>
      </c>
      <c r="C6" s="8">
        <v>252</v>
      </c>
      <c r="D6" s="8">
        <v>276</v>
      </c>
      <c r="E6" s="8">
        <f>D6-C6</f>
        <v>24</v>
      </c>
      <c r="G6" s="19" t="s">
        <v>63</v>
      </c>
      <c r="H6" s="65">
        <f>COUNT(D6:D100)</f>
        <v>95</v>
      </c>
      <c r="J6" s="19" t="s">
        <v>131</v>
      </c>
      <c r="K6" s="76">
        <v>0.9</v>
      </c>
      <c r="M6" s="19" t="s">
        <v>137</v>
      </c>
      <c r="N6" s="66">
        <f>H7-K8</f>
        <v>44.387759816134697</v>
      </c>
    </row>
    <row r="7" spans="2:14" x14ac:dyDescent="0.3">
      <c r="B7" s="8">
        <v>2</v>
      </c>
      <c r="C7" s="8">
        <v>423</v>
      </c>
      <c r="D7" s="8">
        <v>410</v>
      </c>
      <c r="E7" s="8">
        <f t="shared" ref="E7:E70" si="0">D7-C7</f>
        <v>-13</v>
      </c>
      <c r="G7" s="19" t="s">
        <v>41</v>
      </c>
      <c r="H7" s="66">
        <f>AVERAGE(E6:E100)</f>
        <v>49.442105263157892</v>
      </c>
      <c r="J7" s="19" t="s">
        <v>132</v>
      </c>
      <c r="K7" s="76">
        <f>1-K6</f>
        <v>9.9999999999999978E-2</v>
      </c>
      <c r="M7" s="19" t="s">
        <v>138</v>
      </c>
      <c r="N7" s="66">
        <f>H7+K8</f>
        <v>54.496450710181087</v>
      </c>
    </row>
    <row r="8" spans="2:14" x14ac:dyDescent="0.3">
      <c r="B8" s="8">
        <v>3</v>
      </c>
      <c r="C8" s="8">
        <v>101</v>
      </c>
      <c r="D8" s="8">
        <v>119</v>
      </c>
      <c r="E8" s="8">
        <f t="shared" si="0"/>
        <v>18</v>
      </c>
      <c r="G8" s="19" t="s">
        <v>62</v>
      </c>
      <c r="H8" s="69">
        <f>_xlfn.STDEV.S(E6:E100)</f>
        <v>29.655007753875548</v>
      </c>
      <c r="J8" s="19" t="s">
        <v>139</v>
      </c>
      <c r="K8" s="69">
        <f>_xlfn.CONFIDENCE.T(K7,H8,H6)</f>
        <v>5.0543454470231923</v>
      </c>
    </row>
    <row r="9" spans="2:14" x14ac:dyDescent="0.3">
      <c r="B9" s="8">
        <v>4</v>
      </c>
      <c r="C9" s="8">
        <v>288</v>
      </c>
      <c r="D9" s="8">
        <v>334</v>
      </c>
      <c r="E9" s="8">
        <f t="shared" si="0"/>
        <v>46</v>
      </c>
    </row>
    <row r="10" spans="2:14" x14ac:dyDescent="0.3">
      <c r="B10" s="8">
        <v>5</v>
      </c>
      <c r="C10" s="8">
        <v>248</v>
      </c>
      <c r="D10" s="8">
        <v>252</v>
      </c>
      <c r="E10" s="8">
        <f t="shared" si="0"/>
        <v>4</v>
      </c>
    </row>
    <row r="11" spans="2:14" x14ac:dyDescent="0.3">
      <c r="B11" s="8">
        <v>6</v>
      </c>
      <c r="C11" s="8">
        <v>145</v>
      </c>
      <c r="D11" s="8">
        <v>209</v>
      </c>
      <c r="E11" s="8">
        <f t="shared" si="0"/>
        <v>64</v>
      </c>
      <c r="J11" s="19"/>
    </row>
    <row r="12" spans="2:14" x14ac:dyDescent="0.3">
      <c r="B12" s="8">
        <v>7</v>
      </c>
      <c r="C12" s="8">
        <v>401</v>
      </c>
      <c r="D12" s="8">
        <v>462</v>
      </c>
      <c r="E12" s="8">
        <f t="shared" si="0"/>
        <v>61</v>
      </c>
    </row>
    <row r="13" spans="2:14" x14ac:dyDescent="0.3">
      <c r="B13" s="8">
        <v>8</v>
      </c>
      <c r="C13" s="8">
        <v>287</v>
      </c>
      <c r="D13" s="8">
        <v>342</v>
      </c>
      <c r="E13" s="8">
        <f t="shared" si="0"/>
        <v>55</v>
      </c>
    </row>
    <row r="14" spans="2:14" x14ac:dyDescent="0.3">
      <c r="B14" s="8">
        <v>9</v>
      </c>
      <c r="C14" s="8">
        <v>275</v>
      </c>
      <c r="D14" s="8">
        <v>347</v>
      </c>
      <c r="E14" s="8">
        <f t="shared" si="0"/>
        <v>72</v>
      </c>
    </row>
    <row r="15" spans="2:14" x14ac:dyDescent="0.3">
      <c r="B15" s="8">
        <v>10</v>
      </c>
      <c r="C15" s="8">
        <v>254</v>
      </c>
      <c r="D15" s="8">
        <v>313</v>
      </c>
      <c r="E15" s="8">
        <f t="shared" si="0"/>
        <v>59</v>
      </c>
    </row>
    <row r="16" spans="2:14" x14ac:dyDescent="0.3">
      <c r="B16" s="8">
        <v>11</v>
      </c>
      <c r="C16" s="8">
        <v>182</v>
      </c>
      <c r="D16" s="8">
        <v>232</v>
      </c>
      <c r="E16" s="8">
        <f t="shared" si="0"/>
        <v>50</v>
      </c>
    </row>
    <row r="17" spans="2:5" x14ac:dyDescent="0.3">
      <c r="B17" s="8">
        <v>12</v>
      </c>
      <c r="C17" s="8">
        <v>117</v>
      </c>
      <c r="D17" s="8">
        <v>163</v>
      </c>
      <c r="E17" s="8">
        <f t="shared" si="0"/>
        <v>46</v>
      </c>
    </row>
    <row r="18" spans="2:5" x14ac:dyDescent="0.3">
      <c r="B18" s="8">
        <v>13</v>
      </c>
      <c r="C18" s="8">
        <v>130</v>
      </c>
      <c r="D18" s="8">
        <v>119</v>
      </c>
      <c r="E18" s="8">
        <f t="shared" si="0"/>
        <v>-11</v>
      </c>
    </row>
    <row r="19" spans="2:5" x14ac:dyDescent="0.3">
      <c r="B19" s="8">
        <v>14</v>
      </c>
      <c r="C19" s="8">
        <v>219</v>
      </c>
      <c r="D19" s="8">
        <v>304</v>
      </c>
      <c r="E19" s="8">
        <f t="shared" si="0"/>
        <v>85</v>
      </c>
    </row>
    <row r="20" spans="2:5" x14ac:dyDescent="0.3">
      <c r="B20" s="8">
        <v>15</v>
      </c>
      <c r="C20" s="8">
        <v>152</v>
      </c>
      <c r="D20" s="8">
        <v>211</v>
      </c>
      <c r="E20" s="8">
        <f t="shared" si="0"/>
        <v>59</v>
      </c>
    </row>
    <row r="21" spans="2:5" x14ac:dyDescent="0.3">
      <c r="B21" s="8">
        <v>16</v>
      </c>
      <c r="C21" s="8">
        <v>228</v>
      </c>
      <c r="D21" s="8">
        <v>286</v>
      </c>
      <c r="E21" s="8">
        <f t="shared" si="0"/>
        <v>58</v>
      </c>
    </row>
    <row r="22" spans="2:5" x14ac:dyDescent="0.3">
      <c r="B22" s="8">
        <v>17</v>
      </c>
      <c r="C22" s="8">
        <v>62</v>
      </c>
      <c r="D22" s="8">
        <v>122</v>
      </c>
      <c r="E22" s="8">
        <f t="shared" si="0"/>
        <v>60</v>
      </c>
    </row>
    <row r="23" spans="2:5" x14ac:dyDescent="0.3">
      <c r="B23" s="8">
        <v>18</v>
      </c>
      <c r="C23" s="8">
        <v>393</v>
      </c>
      <c r="D23" s="8">
        <v>443</v>
      </c>
      <c r="E23" s="8">
        <f t="shared" si="0"/>
        <v>50</v>
      </c>
    </row>
    <row r="24" spans="2:5" x14ac:dyDescent="0.3">
      <c r="B24" s="8">
        <v>19</v>
      </c>
      <c r="C24" s="8">
        <v>277</v>
      </c>
      <c r="D24" s="8">
        <v>366</v>
      </c>
      <c r="E24" s="8">
        <f t="shared" si="0"/>
        <v>89</v>
      </c>
    </row>
    <row r="25" spans="2:5" x14ac:dyDescent="0.3">
      <c r="B25" s="8">
        <v>20</v>
      </c>
      <c r="C25" s="8">
        <v>206</v>
      </c>
      <c r="D25" s="8">
        <v>244</v>
      </c>
      <c r="E25" s="8">
        <f t="shared" si="0"/>
        <v>38</v>
      </c>
    </row>
    <row r="26" spans="2:5" x14ac:dyDescent="0.3">
      <c r="B26" s="8">
        <v>21</v>
      </c>
      <c r="C26" s="8">
        <v>229</v>
      </c>
      <c r="D26" s="8">
        <v>241</v>
      </c>
      <c r="E26" s="8">
        <f t="shared" si="0"/>
        <v>12</v>
      </c>
    </row>
    <row r="27" spans="2:5" x14ac:dyDescent="0.3">
      <c r="B27" s="8">
        <v>22</v>
      </c>
      <c r="C27" s="8">
        <v>182</v>
      </c>
      <c r="D27" s="8">
        <v>237</v>
      </c>
      <c r="E27" s="8">
        <f t="shared" si="0"/>
        <v>55</v>
      </c>
    </row>
    <row r="28" spans="2:5" x14ac:dyDescent="0.3">
      <c r="B28" s="8">
        <v>23</v>
      </c>
      <c r="C28" s="8">
        <v>98</v>
      </c>
      <c r="D28" s="8">
        <v>122</v>
      </c>
      <c r="E28" s="8">
        <f t="shared" si="0"/>
        <v>24</v>
      </c>
    </row>
    <row r="29" spans="2:5" x14ac:dyDescent="0.3">
      <c r="B29" s="8">
        <v>24</v>
      </c>
      <c r="C29" s="8">
        <v>125</v>
      </c>
      <c r="D29" s="8">
        <v>129</v>
      </c>
      <c r="E29" s="8">
        <f t="shared" si="0"/>
        <v>4</v>
      </c>
    </row>
    <row r="30" spans="2:5" x14ac:dyDescent="0.3">
      <c r="B30" s="8">
        <v>25</v>
      </c>
      <c r="C30" s="8">
        <v>164</v>
      </c>
      <c r="D30" s="8">
        <v>236</v>
      </c>
      <c r="E30" s="8">
        <f t="shared" si="0"/>
        <v>72</v>
      </c>
    </row>
    <row r="31" spans="2:5" x14ac:dyDescent="0.3">
      <c r="B31" s="8">
        <v>26</v>
      </c>
      <c r="C31" s="8">
        <v>186</v>
      </c>
      <c r="D31" s="8">
        <v>251</v>
      </c>
      <c r="E31" s="8">
        <f t="shared" si="0"/>
        <v>65</v>
      </c>
    </row>
    <row r="32" spans="2:5" x14ac:dyDescent="0.3">
      <c r="B32" s="8">
        <v>27</v>
      </c>
      <c r="C32" s="8">
        <v>235</v>
      </c>
      <c r="D32" s="8">
        <v>283</v>
      </c>
      <c r="E32" s="8">
        <f t="shared" si="0"/>
        <v>48</v>
      </c>
    </row>
    <row r="33" spans="2:5" x14ac:dyDescent="0.3">
      <c r="B33" s="8">
        <v>28</v>
      </c>
      <c r="C33" s="8">
        <v>184</v>
      </c>
      <c r="D33" s="8">
        <v>225</v>
      </c>
      <c r="E33" s="8">
        <f t="shared" si="0"/>
        <v>41</v>
      </c>
    </row>
    <row r="34" spans="2:5" x14ac:dyDescent="0.3">
      <c r="B34" s="8">
        <v>29</v>
      </c>
      <c r="C34" s="8">
        <v>76</v>
      </c>
      <c r="D34" s="8">
        <v>102</v>
      </c>
      <c r="E34" s="8">
        <f t="shared" si="0"/>
        <v>26</v>
      </c>
    </row>
    <row r="35" spans="2:5" x14ac:dyDescent="0.3">
      <c r="B35" s="8">
        <v>30</v>
      </c>
      <c r="C35" s="8">
        <v>126</v>
      </c>
      <c r="D35" s="8">
        <v>180</v>
      </c>
      <c r="E35" s="8">
        <f t="shared" si="0"/>
        <v>54</v>
      </c>
    </row>
    <row r="36" spans="2:5" x14ac:dyDescent="0.3">
      <c r="B36" s="8">
        <v>31</v>
      </c>
      <c r="C36" s="8">
        <v>183</v>
      </c>
      <c r="D36" s="8">
        <v>247</v>
      </c>
      <c r="E36" s="8">
        <f t="shared" si="0"/>
        <v>64</v>
      </c>
    </row>
    <row r="37" spans="2:5" x14ac:dyDescent="0.3">
      <c r="B37" s="8">
        <v>32</v>
      </c>
      <c r="C37" s="8">
        <v>242</v>
      </c>
      <c r="D37" s="8">
        <v>343</v>
      </c>
      <c r="E37" s="8">
        <f t="shared" si="0"/>
        <v>101</v>
      </c>
    </row>
    <row r="38" spans="2:5" x14ac:dyDescent="0.3">
      <c r="B38" s="8">
        <v>33</v>
      </c>
      <c r="C38" s="8">
        <v>207</v>
      </c>
      <c r="D38" s="8">
        <v>283</v>
      </c>
      <c r="E38" s="8">
        <f t="shared" si="0"/>
        <v>76</v>
      </c>
    </row>
    <row r="39" spans="2:5" x14ac:dyDescent="0.3">
      <c r="B39" s="8">
        <v>34</v>
      </c>
      <c r="C39" s="8">
        <v>181</v>
      </c>
      <c r="D39" s="8">
        <v>253</v>
      </c>
      <c r="E39" s="8">
        <f t="shared" si="0"/>
        <v>72</v>
      </c>
    </row>
    <row r="40" spans="2:5" x14ac:dyDescent="0.3">
      <c r="B40" s="8">
        <v>35</v>
      </c>
      <c r="C40" s="8">
        <v>239</v>
      </c>
      <c r="D40" s="8">
        <v>263</v>
      </c>
      <c r="E40" s="8">
        <f t="shared" si="0"/>
        <v>24</v>
      </c>
    </row>
    <row r="41" spans="2:5" x14ac:dyDescent="0.3">
      <c r="B41" s="8">
        <v>36</v>
      </c>
      <c r="C41" s="8">
        <v>216</v>
      </c>
      <c r="D41" s="8">
        <v>291</v>
      </c>
      <c r="E41" s="8">
        <f t="shared" si="0"/>
        <v>75</v>
      </c>
    </row>
    <row r="42" spans="2:5" x14ac:dyDescent="0.3">
      <c r="B42" s="8">
        <v>37</v>
      </c>
      <c r="C42" s="8">
        <v>289</v>
      </c>
      <c r="D42" s="8">
        <v>368</v>
      </c>
      <c r="E42" s="8">
        <f t="shared" si="0"/>
        <v>79</v>
      </c>
    </row>
    <row r="43" spans="2:5" x14ac:dyDescent="0.3">
      <c r="B43" s="8">
        <v>38</v>
      </c>
      <c r="C43" s="8">
        <v>213</v>
      </c>
      <c r="D43" s="8">
        <v>206</v>
      </c>
      <c r="E43" s="8">
        <f t="shared" si="0"/>
        <v>-7</v>
      </c>
    </row>
    <row r="44" spans="2:5" x14ac:dyDescent="0.3">
      <c r="B44" s="8">
        <v>39</v>
      </c>
      <c r="C44" s="8">
        <v>209</v>
      </c>
      <c r="D44" s="8">
        <v>231</v>
      </c>
      <c r="E44" s="8">
        <f t="shared" si="0"/>
        <v>22</v>
      </c>
    </row>
    <row r="45" spans="2:5" x14ac:dyDescent="0.3">
      <c r="B45" s="8">
        <v>40</v>
      </c>
      <c r="C45" s="8">
        <v>376</v>
      </c>
      <c r="D45" s="8">
        <v>389</v>
      </c>
      <c r="E45" s="8">
        <f t="shared" si="0"/>
        <v>13</v>
      </c>
    </row>
    <row r="46" spans="2:5" x14ac:dyDescent="0.3">
      <c r="B46" s="8">
        <v>41</v>
      </c>
      <c r="C46" s="8">
        <v>332</v>
      </c>
      <c r="D46" s="8">
        <v>396</v>
      </c>
      <c r="E46" s="8">
        <f t="shared" si="0"/>
        <v>64</v>
      </c>
    </row>
    <row r="47" spans="2:5" x14ac:dyDescent="0.3">
      <c r="B47" s="8">
        <v>42</v>
      </c>
      <c r="C47" s="8">
        <v>249</v>
      </c>
      <c r="D47" s="8">
        <v>339</v>
      </c>
      <c r="E47" s="8">
        <f t="shared" si="0"/>
        <v>90</v>
      </c>
    </row>
    <row r="48" spans="2:5" x14ac:dyDescent="0.3">
      <c r="B48" s="8">
        <v>43</v>
      </c>
      <c r="C48" s="8">
        <v>228</v>
      </c>
      <c r="D48" s="8">
        <v>286</v>
      </c>
      <c r="E48" s="8">
        <f t="shared" si="0"/>
        <v>58</v>
      </c>
    </row>
    <row r="49" spans="2:5" x14ac:dyDescent="0.3">
      <c r="B49" s="8">
        <v>44</v>
      </c>
      <c r="C49" s="8">
        <v>124</v>
      </c>
      <c r="D49" s="8">
        <v>146</v>
      </c>
      <c r="E49" s="8">
        <f t="shared" si="0"/>
        <v>22</v>
      </c>
    </row>
    <row r="50" spans="2:5" x14ac:dyDescent="0.3">
      <c r="B50" s="8">
        <v>45</v>
      </c>
      <c r="C50" s="8">
        <v>194</v>
      </c>
      <c r="D50" s="8">
        <v>315</v>
      </c>
      <c r="E50" s="8">
        <f t="shared" si="0"/>
        <v>121</v>
      </c>
    </row>
    <row r="51" spans="2:5" x14ac:dyDescent="0.3">
      <c r="B51" s="8">
        <v>46</v>
      </c>
      <c r="C51" s="8">
        <v>157</v>
      </c>
      <c r="D51" s="8">
        <v>183</v>
      </c>
      <c r="E51" s="8">
        <f t="shared" si="0"/>
        <v>26</v>
      </c>
    </row>
    <row r="52" spans="2:5" x14ac:dyDescent="0.3">
      <c r="B52" s="8">
        <v>47</v>
      </c>
      <c r="C52" s="8">
        <v>402</v>
      </c>
      <c r="D52" s="8">
        <v>481</v>
      </c>
      <c r="E52" s="8">
        <f t="shared" si="0"/>
        <v>79</v>
      </c>
    </row>
    <row r="53" spans="2:5" x14ac:dyDescent="0.3">
      <c r="B53" s="8">
        <v>48</v>
      </c>
      <c r="C53" s="8">
        <v>323</v>
      </c>
      <c r="D53" s="8">
        <v>349</v>
      </c>
      <c r="E53" s="8">
        <f t="shared" si="0"/>
        <v>26</v>
      </c>
    </row>
    <row r="54" spans="2:5" x14ac:dyDescent="0.3">
      <c r="B54" s="8">
        <v>49</v>
      </c>
      <c r="C54" s="8">
        <v>181</v>
      </c>
      <c r="D54" s="8">
        <v>225</v>
      </c>
      <c r="E54" s="8">
        <f t="shared" si="0"/>
        <v>44</v>
      </c>
    </row>
    <row r="55" spans="2:5" x14ac:dyDescent="0.3">
      <c r="B55" s="8">
        <v>50</v>
      </c>
      <c r="C55" s="8">
        <v>157</v>
      </c>
      <c r="D55" s="8">
        <v>217</v>
      </c>
      <c r="E55" s="8">
        <f t="shared" si="0"/>
        <v>60</v>
      </c>
    </row>
    <row r="56" spans="2:5" x14ac:dyDescent="0.3">
      <c r="B56" s="8">
        <v>51</v>
      </c>
      <c r="C56" s="8">
        <v>266</v>
      </c>
      <c r="D56" s="8">
        <v>353</v>
      </c>
      <c r="E56" s="8">
        <f t="shared" si="0"/>
        <v>87</v>
      </c>
    </row>
    <row r="57" spans="2:5" x14ac:dyDescent="0.3">
      <c r="B57" s="8">
        <v>52</v>
      </c>
      <c r="C57" s="8">
        <v>268</v>
      </c>
      <c r="D57" s="8">
        <v>314</v>
      </c>
      <c r="E57" s="8">
        <f t="shared" si="0"/>
        <v>46</v>
      </c>
    </row>
    <row r="58" spans="2:5" x14ac:dyDescent="0.3">
      <c r="B58" s="8">
        <v>53</v>
      </c>
      <c r="C58" s="8">
        <v>167</v>
      </c>
      <c r="D58" s="8">
        <v>247</v>
      </c>
      <c r="E58" s="8">
        <f t="shared" si="0"/>
        <v>80</v>
      </c>
    </row>
    <row r="59" spans="2:5" x14ac:dyDescent="0.3">
      <c r="B59" s="8">
        <v>54</v>
      </c>
      <c r="C59" s="8">
        <v>342</v>
      </c>
      <c r="D59" s="8">
        <v>410</v>
      </c>
      <c r="E59" s="8">
        <f t="shared" si="0"/>
        <v>68</v>
      </c>
    </row>
    <row r="60" spans="2:5" x14ac:dyDescent="0.3">
      <c r="B60" s="8">
        <v>55</v>
      </c>
      <c r="C60" s="8">
        <v>349</v>
      </c>
      <c r="D60" s="8">
        <v>395</v>
      </c>
      <c r="E60" s="8">
        <f t="shared" si="0"/>
        <v>46</v>
      </c>
    </row>
    <row r="61" spans="2:5" x14ac:dyDescent="0.3">
      <c r="B61" s="8">
        <v>56</v>
      </c>
      <c r="C61" s="8">
        <v>340</v>
      </c>
      <c r="D61" s="8">
        <v>416</v>
      </c>
      <c r="E61" s="8">
        <f t="shared" si="0"/>
        <v>76</v>
      </c>
    </row>
    <row r="62" spans="2:5" x14ac:dyDescent="0.3">
      <c r="B62" s="8">
        <v>57</v>
      </c>
      <c r="C62" s="8">
        <v>227</v>
      </c>
      <c r="D62" s="8">
        <v>342</v>
      </c>
      <c r="E62" s="8">
        <f t="shared" si="0"/>
        <v>115</v>
      </c>
    </row>
    <row r="63" spans="2:5" x14ac:dyDescent="0.3">
      <c r="B63" s="8">
        <v>58</v>
      </c>
      <c r="C63" s="8">
        <v>409</v>
      </c>
      <c r="D63" s="8">
        <v>446</v>
      </c>
      <c r="E63" s="8">
        <f t="shared" si="0"/>
        <v>37</v>
      </c>
    </row>
    <row r="64" spans="2:5" x14ac:dyDescent="0.3">
      <c r="B64" s="8">
        <v>59</v>
      </c>
      <c r="C64" s="8">
        <v>400</v>
      </c>
      <c r="D64" s="8">
        <v>477</v>
      </c>
      <c r="E64" s="8">
        <f t="shared" si="0"/>
        <v>77</v>
      </c>
    </row>
    <row r="65" spans="2:5" x14ac:dyDescent="0.3">
      <c r="B65" s="8">
        <v>60</v>
      </c>
      <c r="C65" s="8">
        <v>374</v>
      </c>
      <c r="D65" s="8">
        <v>444</v>
      </c>
      <c r="E65" s="8">
        <f t="shared" si="0"/>
        <v>70</v>
      </c>
    </row>
    <row r="66" spans="2:5" x14ac:dyDescent="0.3">
      <c r="B66" s="8">
        <v>61</v>
      </c>
      <c r="C66" s="8">
        <v>255</v>
      </c>
      <c r="D66" s="8">
        <v>351</v>
      </c>
      <c r="E66" s="8">
        <f t="shared" si="0"/>
        <v>96</v>
      </c>
    </row>
    <row r="67" spans="2:5" x14ac:dyDescent="0.3">
      <c r="B67" s="8">
        <v>62</v>
      </c>
      <c r="C67" s="8">
        <v>146</v>
      </c>
      <c r="D67" s="8">
        <v>165</v>
      </c>
      <c r="E67" s="8">
        <f t="shared" si="0"/>
        <v>19</v>
      </c>
    </row>
    <row r="68" spans="2:5" x14ac:dyDescent="0.3">
      <c r="B68" s="8">
        <v>63</v>
      </c>
      <c r="C68" s="8">
        <v>248</v>
      </c>
      <c r="D68" s="8">
        <v>317</v>
      </c>
      <c r="E68" s="8">
        <f t="shared" si="0"/>
        <v>69</v>
      </c>
    </row>
    <row r="69" spans="2:5" x14ac:dyDescent="0.3">
      <c r="B69" s="8">
        <v>64</v>
      </c>
      <c r="C69" s="8">
        <v>198</v>
      </c>
      <c r="D69" s="8">
        <v>250</v>
      </c>
      <c r="E69" s="8">
        <f t="shared" si="0"/>
        <v>52</v>
      </c>
    </row>
    <row r="70" spans="2:5" x14ac:dyDescent="0.3">
      <c r="B70" s="8">
        <v>65</v>
      </c>
      <c r="C70" s="8">
        <v>210</v>
      </c>
      <c r="D70" s="8">
        <v>217</v>
      </c>
      <c r="E70" s="8">
        <f t="shared" si="0"/>
        <v>7</v>
      </c>
    </row>
    <row r="71" spans="2:5" x14ac:dyDescent="0.3">
      <c r="B71" s="8">
        <v>66</v>
      </c>
      <c r="C71" s="8">
        <v>107</v>
      </c>
      <c r="D71" s="8">
        <v>138</v>
      </c>
      <c r="E71" s="8">
        <f t="shared" ref="E71:E100" si="1">D71-C71</f>
        <v>31</v>
      </c>
    </row>
    <row r="72" spans="2:5" x14ac:dyDescent="0.3">
      <c r="B72" s="8">
        <v>67</v>
      </c>
      <c r="C72" s="8">
        <v>239</v>
      </c>
      <c r="D72" s="8">
        <v>302</v>
      </c>
      <c r="E72" s="8">
        <f t="shared" si="1"/>
        <v>63</v>
      </c>
    </row>
    <row r="73" spans="2:5" x14ac:dyDescent="0.3">
      <c r="B73" s="8">
        <v>68</v>
      </c>
      <c r="C73" s="8">
        <v>287</v>
      </c>
      <c r="D73" s="8">
        <v>311</v>
      </c>
      <c r="E73" s="8">
        <f t="shared" si="1"/>
        <v>24</v>
      </c>
    </row>
    <row r="74" spans="2:5" x14ac:dyDescent="0.3">
      <c r="B74" s="8">
        <v>69</v>
      </c>
      <c r="C74" s="8">
        <v>340</v>
      </c>
      <c r="D74" s="8">
        <v>373</v>
      </c>
      <c r="E74" s="8">
        <f t="shared" si="1"/>
        <v>33</v>
      </c>
    </row>
    <row r="75" spans="2:5" x14ac:dyDescent="0.3">
      <c r="B75" s="8">
        <v>70</v>
      </c>
      <c r="C75" s="8">
        <v>155</v>
      </c>
      <c r="D75" s="8">
        <v>196</v>
      </c>
      <c r="E75" s="8">
        <f t="shared" si="1"/>
        <v>41</v>
      </c>
    </row>
    <row r="76" spans="2:5" x14ac:dyDescent="0.3">
      <c r="B76" s="8">
        <v>71</v>
      </c>
      <c r="C76" s="8">
        <v>263</v>
      </c>
      <c r="D76" s="8">
        <v>306</v>
      </c>
      <c r="E76" s="8">
        <f t="shared" si="1"/>
        <v>43</v>
      </c>
    </row>
    <row r="77" spans="2:5" x14ac:dyDescent="0.3">
      <c r="B77" s="8">
        <v>72</v>
      </c>
      <c r="C77" s="8">
        <v>265</v>
      </c>
      <c r="D77" s="8">
        <v>302</v>
      </c>
      <c r="E77" s="8">
        <f t="shared" si="1"/>
        <v>37</v>
      </c>
    </row>
    <row r="78" spans="2:5" x14ac:dyDescent="0.3">
      <c r="B78" s="8">
        <v>73</v>
      </c>
      <c r="C78" s="8">
        <v>249</v>
      </c>
      <c r="D78" s="8">
        <v>278</v>
      </c>
      <c r="E78" s="8">
        <f t="shared" si="1"/>
        <v>29</v>
      </c>
    </row>
    <row r="79" spans="2:5" x14ac:dyDescent="0.3">
      <c r="B79" s="8">
        <v>74</v>
      </c>
      <c r="C79" s="8">
        <v>377</v>
      </c>
      <c r="D79" s="8">
        <v>429</v>
      </c>
      <c r="E79" s="8">
        <f t="shared" si="1"/>
        <v>52</v>
      </c>
    </row>
    <row r="80" spans="2:5" x14ac:dyDescent="0.3">
      <c r="B80" s="8">
        <v>75</v>
      </c>
      <c r="C80" s="8">
        <v>301</v>
      </c>
      <c r="D80" s="8">
        <v>338</v>
      </c>
      <c r="E80" s="8">
        <f t="shared" si="1"/>
        <v>37</v>
      </c>
    </row>
    <row r="81" spans="2:5" x14ac:dyDescent="0.3">
      <c r="B81" s="8">
        <v>76</v>
      </c>
      <c r="C81" s="8">
        <v>242</v>
      </c>
      <c r="D81" s="8">
        <v>261</v>
      </c>
      <c r="E81" s="8">
        <f t="shared" si="1"/>
        <v>19</v>
      </c>
    </row>
    <row r="82" spans="2:5" x14ac:dyDescent="0.3">
      <c r="B82" s="8">
        <v>77</v>
      </c>
      <c r="C82" s="8">
        <v>211</v>
      </c>
      <c r="D82" s="8">
        <v>256</v>
      </c>
      <c r="E82" s="8">
        <f t="shared" si="1"/>
        <v>45</v>
      </c>
    </row>
    <row r="83" spans="2:5" x14ac:dyDescent="0.3">
      <c r="B83" s="8">
        <v>78</v>
      </c>
      <c r="C83" s="8">
        <v>160</v>
      </c>
      <c r="D83" s="8">
        <v>183</v>
      </c>
      <c r="E83" s="8">
        <f t="shared" si="1"/>
        <v>23</v>
      </c>
    </row>
    <row r="84" spans="2:5" x14ac:dyDescent="0.3">
      <c r="B84" s="8">
        <v>79</v>
      </c>
      <c r="C84" s="8">
        <v>218</v>
      </c>
      <c r="D84" s="8">
        <v>274</v>
      </c>
      <c r="E84" s="8">
        <f t="shared" si="1"/>
        <v>56</v>
      </c>
    </row>
    <row r="85" spans="2:5" x14ac:dyDescent="0.3">
      <c r="B85" s="8">
        <v>80</v>
      </c>
      <c r="C85" s="8">
        <v>133</v>
      </c>
      <c r="D85" s="8">
        <v>182</v>
      </c>
      <c r="E85" s="8">
        <f t="shared" si="1"/>
        <v>49</v>
      </c>
    </row>
    <row r="86" spans="2:5" x14ac:dyDescent="0.3">
      <c r="B86" s="8">
        <v>81</v>
      </c>
      <c r="C86" s="8">
        <v>122</v>
      </c>
      <c r="D86" s="8">
        <v>183</v>
      </c>
      <c r="E86" s="8">
        <f t="shared" si="1"/>
        <v>61</v>
      </c>
    </row>
    <row r="87" spans="2:5" x14ac:dyDescent="0.3">
      <c r="B87" s="8">
        <v>82</v>
      </c>
      <c r="C87" s="8">
        <v>236</v>
      </c>
      <c r="D87" s="8">
        <v>309</v>
      </c>
      <c r="E87" s="8">
        <f t="shared" si="1"/>
        <v>73</v>
      </c>
    </row>
    <row r="88" spans="2:5" x14ac:dyDescent="0.3">
      <c r="B88" s="8">
        <v>83</v>
      </c>
      <c r="C88" s="8">
        <v>143</v>
      </c>
      <c r="D88" s="8">
        <v>178</v>
      </c>
      <c r="E88" s="8">
        <f t="shared" si="1"/>
        <v>35</v>
      </c>
    </row>
    <row r="89" spans="2:5" x14ac:dyDescent="0.3">
      <c r="B89" s="8">
        <v>84</v>
      </c>
      <c r="C89" s="8">
        <v>354</v>
      </c>
      <c r="D89" s="8">
        <v>458</v>
      </c>
      <c r="E89" s="8">
        <f t="shared" si="1"/>
        <v>104</v>
      </c>
    </row>
    <row r="90" spans="2:5" x14ac:dyDescent="0.3">
      <c r="B90" s="8">
        <v>85</v>
      </c>
      <c r="C90" s="8">
        <v>214</v>
      </c>
      <c r="D90" s="8">
        <v>234</v>
      </c>
      <c r="E90" s="8">
        <f t="shared" si="1"/>
        <v>20</v>
      </c>
    </row>
    <row r="91" spans="2:5" x14ac:dyDescent="0.3">
      <c r="B91" s="8">
        <v>86</v>
      </c>
      <c r="C91" s="8">
        <v>225</v>
      </c>
      <c r="D91" s="8">
        <v>306</v>
      </c>
      <c r="E91" s="8">
        <f t="shared" si="1"/>
        <v>81</v>
      </c>
    </row>
    <row r="92" spans="2:5" x14ac:dyDescent="0.3">
      <c r="B92" s="8">
        <v>87</v>
      </c>
      <c r="C92" s="8">
        <v>261</v>
      </c>
      <c r="D92" s="8">
        <v>400</v>
      </c>
      <c r="E92" s="8">
        <f t="shared" si="1"/>
        <v>139</v>
      </c>
    </row>
    <row r="93" spans="2:5" x14ac:dyDescent="0.3">
      <c r="B93" s="8">
        <v>88</v>
      </c>
      <c r="C93" s="8">
        <v>277</v>
      </c>
      <c r="D93" s="8">
        <v>337</v>
      </c>
      <c r="E93" s="8">
        <f t="shared" si="1"/>
        <v>60</v>
      </c>
    </row>
    <row r="94" spans="2:5" x14ac:dyDescent="0.3">
      <c r="B94" s="8">
        <v>89</v>
      </c>
      <c r="C94" s="8">
        <v>282</v>
      </c>
      <c r="D94" s="8">
        <v>325</v>
      </c>
      <c r="E94" s="8">
        <f t="shared" si="1"/>
        <v>43</v>
      </c>
    </row>
    <row r="95" spans="2:5" x14ac:dyDescent="0.3">
      <c r="B95" s="8">
        <v>90</v>
      </c>
      <c r="C95" s="8">
        <v>322</v>
      </c>
      <c r="D95" s="8">
        <v>329</v>
      </c>
      <c r="E95" s="8">
        <f t="shared" si="1"/>
        <v>7</v>
      </c>
    </row>
    <row r="96" spans="2:5" x14ac:dyDescent="0.3">
      <c r="B96" s="8">
        <v>91</v>
      </c>
      <c r="C96" s="8">
        <v>326</v>
      </c>
      <c r="D96" s="8">
        <v>369</v>
      </c>
      <c r="E96" s="8">
        <f t="shared" si="1"/>
        <v>43</v>
      </c>
    </row>
    <row r="97" spans="2:5" x14ac:dyDescent="0.3">
      <c r="B97" s="8">
        <v>92</v>
      </c>
      <c r="C97" s="8">
        <v>421</v>
      </c>
      <c r="D97" s="8">
        <v>457</v>
      </c>
      <c r="E97" s="8">
        <f t="shared" si="1"/>
        <v>36</v>
      </c>
    </row>
    <row r="98" spans="2:5" x14ac:dyDescent="0.3">
      <c r="B98" s="8">
        <v>93</v>
      </c>
      <c r="C98" s="8">
        <v>368</v>
      </c>
      <c r="D98" s="8">
        <v>421</v>
      </c>
      <c r="E98" s="8">
        <f t="shared" si="1"/>
        <v>53</v>
      </c>
    </row>
    <row r="99" spans="2:5" x14ac:dyDescent="0.3">
      <c r="B99" s="8">
        <v>94</v>
      </c>
      <c r="C99" s="8">
        <v>279</v>
      </c>
      <c r="D99" s="8">
        <v>282</v>
      </c>
      <c r="E99" s="8">
        <f t="shared" si="1"/>
        <v>3</v>
      </c>
    </row>
    <row r="100" spans="2:5" x14ac:dyDescent="0.3">
      <c r="B100" s="8">
        <v>95</v>
      </c>
      <c r="C100" s="8">
        <v>268</v>
      </c>
      <c r="D100" s="8">
        <v>256</v>
      </c>
      <c r="E100" s="8">
        <f t="shared" si="1"/>
        <v>-12</v>
      </c>
    </row>
  </sheetData>
  <mergeCells count="3">
    <mergeCell ref="G5:H5"/>
    <mergeCell ref="J5:K5"/>
    <mergeCell ref="M5:N5"/>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74DC0-C63D-4212-AC06-1C9212BF04B2}">
  <sheetPr codeName="Sheet35">
    <tabColor theme="9" tint="0.79998168889431442"/>
  </sheetPr>
  <dimension ref="B1:Q64"/>
  <sheetViews>
    <sheetView showGridLines="0" topLeftCell="C1" workbookViewId="0">
      <selection activeCell="Q10" sqref="Q10"/>
    </sheetView>
  </sheetViews>
  <sheetFormatPr defaultRowHeight="14.4" x14ac:dyDescent="0.3"/>
  <cols>
    <col min="1" max="1" width="2.88671875" customWidth="1"/>
    <col min="2" max="2" width="19.6640625" customWidth="1"/>
    <col min="3" max="3" width="2.88671875" customWidth="1"/>
    <col min="4" max="4" width="17" bestFit="1" customWidth="1"/>
    <col min="6" max="6" width="15.44140625" bestFit="1" customWidth="1"/>
    <col min="7" max="8" width="14.33203125" customWidth="1"/>
    <col min="10" max="11" width="11.44140625" customWidth="1"/>
    <col min="13" max="13" width="19.88671875" bestFit="1" customWidth="1"/>
    <col min="14" max="14" width="12" bestFit="1" customWidth="1"/>
    <col min="16" max="16" width="14.33203125" customWidth="1"/>
    <col min="17" max="17" width="11.44140625" customWidth="1"/>
  </cols>
  <sheetData>
    <row r="1" spans="2:17" ht="25.5" customHeight="1" x14ac:dyDescent="0.35">
      <c r="B1" s="17" t="s">
        <v>160</v>
      </c>
    </row>
    <row r="2" spans="2:17" ht="15" customHeight="1" x14ac:dyDescent="0.3">
      <c r="B2" s="27" t="s">
        <v>161</v>
      </c>
    </row>
    <row r="3" spans="2:17" ht="18" customHeight="1" x14ac:dyDescent="0.3"/>
    <row r="4" spans="2:17" x14ac:dyDescent="0.3">
      <c r="F4" s="3"/>
      <c r="J4" s="3"/>
      <c r="M4" s="3"/>
      <c r="P4" s="3"/>
    </row>
    <row r="5" spans="2:17" x14ac:dyDescent="0.3">
      <c r="B5" s="7" t="s">
        <v>50</v>
      </c>
      <c r="D5" s="7" t="s">
        <v>51</v>
      </c>
      <c r="F5" s="108" t="s">
        <v>128</v>
      </c>
      <c r="G5" s="108"/>
      <c r="H5" s="108"/>
      <c r="J5" s="108" t="s">
        <v>165</v>
      </c>
      <c r="K5" s="108"/>
      <c r="M5" s="108" t="s">
        <v>130</v>
      </c>
      <c r="N5" s="108"/>
      <c r="P5" s="108" t="s">
        <v>136</v>
      </c>
      <c r="Q5" s="108"/>
    </row>
    <row r="6" spans="2:17" ht="15.6" x14ac:dyDescent="0.35">
      <c r="B6" s="8">
        <v>90.2</v>
      </c>
      <c r="D6" s="8">
        <v>68.7</v>
      </c>
      <c r="G6" s="16" t="s">
        <v>23</v>
      </c>
      <c r="H6" s="16" t="s">
        <v>25</v>
      </c>
      <c r="J6" s="19" t="s">
        <v>166</v>
      </c>
      <c r="K6" s="66">
        <f>G9-H9</f>
        <v>1.8650659133709979</v>
      </c>
      <c r="M6" s="19" t="s">
        <v>131</v>
      </c>
      <c r="N6" s="71">
        <v>0.9</v>
      </c>
      <c r="P6" s="19" t="s">
        <v>137</v>
      </c>
      <c r="Q6" s="66">
        <f>K6-N12</f>
        <v>-0.37332177308589953</v>
      </c>
    </row>
    <row r="7" spans="2:17" x14ac:dyDescent="0.3">
      <c r="B7" s="8">
        <v>92.8</v>
      </c>
      <c r="D7" s="8">
        <v>80.7</v>
      </c>
      <c r="F7" s="19" t="s">
        <v>162</v>
      </c>
      <c r="G7" s="65">
        <f>COUNT(B6:B41)</f>
        <v>36</v>
      </c>
      <c r="H7" s="65">
        <f>COUNT(D6:D64)</f>
        <v>59</v>
      </c>
      <c r="M7" s="19" t="s">
        <v>132</v>
      </c>
      <c r="N7" s="76">
        <f>1-N6</f>
        <v>9.9999999999999978E-2</v>
      </c>
      <c r="P7" s="19" t="s">
        <v>138</v>
      </c>
      <c r="Q7" s="66">
        <f>K6+N12</f>
        <v>4.1034535998278958</v>
      </c>
    </row>
    <row r="8" spans="2:17" x14ac:dyDescent="0.3">
      <c r="B8" s="8">
        <v>88.7</v>
      </c>
      <c r="D8" s="8">
        <v>74.900000000000006</v>
      </c>
      <c r="F8" s="19" t="s">
        <v>170</v>
      </c>
      <c r="G8" s="65">
        <f>G7-1</f>
        <v>35</v>
      </c>
      <c r="H8" s="65">
        <f>H7-1</f>
        <v>58</v>
      </c>
      <c r="M8" s="19" t="s">
        <v>133</v>
      </c>
      <c r="N8" s="65">
        <f>N7/2</f>
        <v>4.9999999999999989E-2</v>
      </c>
    </row>
    <row r="9" spans="2:17" x14ac:dyDescent="0.3">
      <c r="B9" s="8">
        <v>87.5</v>
      </c>
      <c r="D9" s="8">
        <v>80.7</v>
      </c>
      <c r="F9" s="19" t="s">
        <v>163</v>
      </c>
      <c r="G9" s="66">
        <f>AVERAGE(B6:B41)</f>
        <v>81.327777777777783</v>
      </c>
      <c r="H9" s="66">
        <f>AVERAGE(D6:D64)</f>
        <v>79.462711864406785</v>
      </c>
      <c r="M9" s="19" t="s">
        <v>167</v>
      </c>
      <c r="N9" s="69">
        <f>(G11+H11)^2*(G11^2/G8+H10^2/H8)</f>
        <v>63.575531826414966</v>
      </c>
    </row>
    <row r="10" spans="2:17" ht="16.2" x14ac:dyDescent="0.3">
      <c r="B10" s="8">
        <v>71.3</v>
      </c>
      <c r="D10" s="8">
        <v>83.3</v>
      </c>
      <c r="F10" s="19" t="s">
        <v>164</v>
      </c>
      <c r="G10" s="69">
        <f>_xlfn.VAR.S(B6:B41)</f>
        <v>44.135206349206364</v>
      </c>
      <c r="H10" s="69">
        <f>_xlfn.VAR.S(D6:D64)</f>
        <v>33.739275277615427</v>
      </c>
      <c r="M10" s="19" t="s">
        <v>144</v>
      </c>
      <c r="N10" s="64">
        <f>_xlfn.T.INV(1-N8,N9)</f>
        <v>1.6694022217068125</v>
      </c>
    </row>
    <row r="11" spans="2:17" ht="16.2" x14ac:dyDescent="0.3">
      <c r="B11" s="8">
        <v>72.3</v>
      </c>
      <c r="D11" s="8">
        <v>75.400000000000006</v>
      </c>
      <c r="F11" s="19" t="s">
        <v>169</v>
      </c>
      <c r="G11" s="64">
        <f>G10/G7</f>
        <v>1.2259779541446212</v>
      </c>
      <c r="H11" s="64">
        <f>H10/H7</f>
        <v>0.57185212334941404</v>
      </c>
      <c r="M11" s="19" t="s">
        <v>135</v>
      </c>
      <c r="N11" s="69">
        <f>SQRT(G11+H11)</f>
        <v>1.3408318602621416</v>
      </c>
    </row>
    <row r="12" spans="2:17" x14ac:dyDescent="0.3">
      <c r="B12" s="8">
        <v>96.1</v>
      </c>
      <c r="D12" s="8">
        <v>82.1</v>
      </c>
      <c r="M12" s="19" t="s">
        <v>139</v>
      </c>
      <c r="N12" s="69">
        <f>N11*N10</f>
        <v>2.2383876864568975</v>
      </c>
    </row>
    <row r="13" spans="2:17" x14ac:dyDescent="0.3">
      <c r="B13" s="8">
        <v>80.3</v>
      </c>
      <c r="D13" s="8">
        <v>66.900000000000006</v>
      </c>
    </row>
    <row r="14" spans="2:17" x14ac:dyDescent="0.3">
      <c r="B14" s="8">
        <v>79.099999999999994</v>
      </c>
      <c r="D14" s="8">
        <v>76.8</v>
      </c>
    </row>
    <row r="15" spans="2:17" x14ac:dyDescent="0.3">
      <c r="B15" s="8">
        <v>87.5</v>
      </c>
      <c r="D15" s="8">
        <v>72.400000000000006</v>
      </c>
    </row>
    <row r="16" spans="2:17" x14ac:dyDescent="0.3">
      <c r="B16" s="8">
        <v>80.8</v>
      </c>
      <c r="D16" s="8">
        <v>72</v>
      </c>
    </row>
    <row r="17" spans="2:4" x14ac:dyDescent="0.3">
      <c r="B17" s="8">
        <v>88.9</v>
      </c>
      <c r="D17" s="8">
        <v>81</v>
      </c>
    </row>
    <row r="18" spans="2:4" x14ac:dyDescent="0.3">
      <c r="B18" s="8">
        <v>82.3</v>
      </c>
      <c r="D18" s="8">
        <v>76.7</v>
      </c>
    </row>
    <row r="19" spans="2:4" x14ac:dyDescent="0.3">
      <c r="B19" s="8">
        <v>83.4</v>
      </c>
      <c r="D19" s="8">
        <v>77.8</v>
      </c>
    </row>
    <row r="20" spans="2:4" x14ac:dyDescent="0.3">
      <c r="B20" s="8">
        <v>77.8</v>
      </c>
      <c r="D20" s="8">
        <v>62.6</v>
      </c>
    </row>
    <row r="21" spans="2:4" x14ac:dyDescent="0.3">
      <c r="B21" s="8">
        <v>71</v>
      </c>
      <c r="D21" s="8">
        <v>80.2</v>
      </c>
    </row>
    <row r="22" spans="2:4" x14ac:dyDescent="0.3">
      <c r="B22" s="8">
        <v>87.2</v>
      </c>
      <c r="D22" s="8">
        <v>77.8</v>
      </c>
    </row>
    <row r="23" spans="2:4" x14ac:dyDescent="0.3">
      <c r="B23" s="8">
        <v>82.9</v>
      </c>
      <c r="D23" s="8">
        <v>75.099999999999994</v>
      </c>
    </row>
    <row r="24" spans="2:4" x14ac:dyDescent="0.3">
      <c r="B24" s="8">
        <v>75.099999999999994</v>
      </c>
      <c r="D24" s="8">
        <v>82.2</v>
      </c>
    </row>
    <row r="25" spans="2:4" x14ac:dyDescent="0.3">
      <c r="B25" s="8">
        <v>74.900000000000006</v>
      </c>
      <c r="D25" s="8">
        <v>70.5</v>
      </c>
    </row>
    <row r="26" spans="2:4" x14ac:dyDescent="0.3">
      <c r="B26" s="8">
        <v>81.7</v>
      </c>
      <c r="D26" s="8">
        <v>70.8</v>
      </c>
    </row>
    <row r="27" spans="2:4" x14ac:dyDescent="0.3">
      <c r="B27" s="8">
        <v>83.8</v>
      </c>
      <c r="D27" s="8">
        <v>79.5</v>
      </c>
    </row>
    <row r="28" spans="2:4" x14ac:dyDescent="0.3">
      <c r="B28" s="8">
        <v>74.8</v>
      </c>
      <c r="D28" s="8">
        <v>79.599999999999994</v>
      </c>
    </row>
    <row r="29" spans="2:4" x14ac:dyDescent="0.3">
      <c r="B29" s="8">
        <v>82.7</v>
      </c>
      <c r="D29" s="8">
        <v>85.9</v>
      </c>
    </row>
    <row r="30" spans="2:4" x14ac:dyDescent="0.3">
      <c r="B30" s="8">
        <v>84</v>
      </c>
      <c r="D30" s="8">
        <v>76.7</v>
      </c>
    </row>
    <row r="31" spans="2:4" x14ac:dyDescent="0.3">
      <c r="B31" s="8">
        <v>80.099999999999994</v>
      </c>
      <c r="D31" s="8">
        <v>79.900000000000006</v>
      </c>
    </row>
    <row r="32" spans="2:4" x14ac:dyDescent="0.3">
      <c r="B32" s="8">
        <v>79.599999999999994</v>
      </c>
      <c r="D32" s="8">
        <v>86.2</v>
      </c>
    </row>
    <row r="33" spans="2:4" x14ac:dyDescent="0.3">
      <c r="B33" s="8">
        <v>78.900000000000006</v>
      </c>
      <c r="D33" s="8">
        <v>79.2</v>
      </c>
    </row>
    <row r="34" spans="2:4" x14ac:dyDescent="0.3">
      <c r="B34" s="8">
        <v>72</v>
      </c>
      <c r="D34" s="8">
        <v>85.2</v>
      </c>
    </row>
    <row r="35" spans="2:4" x14ac:dyDescent="0.3">
      <c r="B35" s="8">
        <v>74.2</v>
      </c>
      <c r="D35" s="8">
        <v>80.2</v>
      </c>
    </row>
    <row r="36" spans="2:4" x14ac:dyDescent="0.3">
      <c r="B36" s="8">
        <v>71.7</v>
      </c>
      <c r="D36" s="8">
        <v>73.5</v>
      </c>
    </row>
    <row r="37" spans="2:4" x14ac:dyDescent="0.3">
      <c r="B37" s="8">
        <v>87.4</v>
      </c>
      <c r="D37" s="8">
        <v>74.599999999999994</v>
      </c>
    </row>
    <row r="38" spans="2:4" x14ac:dyDescent="0.3">
      <c r="B38" s="8">
        <v>77.400000000000006</v>
      </c>
      <c r="D38" s="8">
        <v>85.1</v>
      </c>
    </row>
    <row r="39" spans="2:4" x14ac:dyDescent="0.3">
      <c r="B39" s="8">
        <v>78.8</v>
      </c>
      <c r="D39" s="8">
        <v>84.6</v>
      </c>
    </row>
    <row r="40" spans="2:4" x14ac:dyDescent="0.3">
      <c r="B40" s="8">
        <v>92.7</v>
      </c>
      <c r="D40" s="8">
        <v>81.400000000000006</v>
      </c>
    </row>
    <row r="41" spans="2:4" x14ac:dyDescent="0.3">
      <c r="B41" s="8">
        <v>77.900000000000006</v>
      </c>
      <c r="D41" s="8">
        <v>88.5</v>
      </c>
    </row>
    <row r="42" spans="2:4" x14ac:dyDescent="0.3">
      <c r="D42" s="8">
        <v>84.9</v>
      </c>
    </row>
    <row r="43" spans="2:4" x14ac:dyDescent="0.3">
      <c r="D43" s="8">
        <v>84.3</v>
      </c>
    </row>
    <row r="44" spans="2:4" x14ac:dyDescent="0.3">
      <c r="D44" s="8">
        <v>78.2</v>
      </c>
    </row>
    <row r="45" spans="2:4" x14ac:dyDescent="0.3">
      <c r="D45" s="8">
        <v>80</v>
      </c>
    </row>
    <row r="46" spans="2:4" x14ac:dyDescent="0.3">
      <c r="D46" s="8">
        <v>78.5</v>
      </c>
    </row>
    <row r="47" spans="2:4" x14ac:dyDescent="0.3">
      <c r="D47" s="8">
        <v>71.8</v>
      </c>
    </row>
    <row r="48" spans="2:4" x14ac:dyDescent="0.3">
      <c r="D48" s="8">
        <v>69.900000000000006</v>
      </c>
    </row>
    <row r="49" spans="4:4" x14ac:dyDescent="0.3">
      <c r="D49" s="8">
        <v>74</v>
      </c>
    </row>
    <row r="50" spans="4:4" x14ac:dyDescent="0.3">
      <c r="D50" s="8">
        <v>84.7</v>
      </c>
    </row>
    <row r="51" spans="4:4" x14ac:dyDescent="0.3">
      <c r="D51" s="8">
        <v>78.2</v>
      </c>
    </row>
    <row r="52" spans="4:4" x14ac:dyDescent="0.3">
      <c r="D52" s="8">
        <v>85</v>
      </c>
    </row>
    <row r="53" spans="4:4" x14ac:dyDescent="0.3">
      <c r="D53" s="8">
        <v>85.3</v>
      </c>
    </row>
    <row r="54" spans="4:4" x14ac:dyDescent="0.3">
      <c r="D54" s="8">
        <v>79.7</v>
      </c>
    </row>
    <row r="55" spans="4:4" x14ac:dyDescent="0.3">
      <c r="D55" s="8">
        <v>78.5</v>
      </c>
    </row>
    <row r="56" spans="4:4" x14ac:dyDescent="0.3">
      <c r="D56" s="8">
        <v>80.7</v>
      </c>
    </row>
    <row r="57" spans="4:4" x14ac:dyDescent="0.3">
      <c r="D57" s="8">
        <v>84.1</v>
      </c>
    </row>
    <row r="58" spans="4:4" x14ac:dyDescent="0.3">
      <c r="D58" s="8">
        <v>84.7</v>
      </c>
    </row>
    <row r="59" spans="4:4" x14ac:dyDescent="0.3">
      <c r="D59" s="8">
        <v>88.8</v>
      </c>
    </row>
    <row r="60" spans="4:4" x14ac:dyDescent="0.3">
      <c r="D60" s="8">
        <v>86.6</v>
      </c>
    </row>
    <row r="61" spans="4:4" x14ac:dyDescent="0.3">
      <c r="D61" s="8">
        <v>86.1</v>
      </c>
    </row>
    <row r="62" spans="4:4" x14ac:dyDescent="0.3">
      <c r="D62" s="8">
        <v>89.9</v>
      </c>
    </row>
    <row r="63" spans="4:4" x14ac:dyDescent="0.3">
      <c r="D63" s="8">
        <v>83.1</v>
      </c>
    </row>
    <row r="64" spans="4:4" x14ac:dyDescent="0.3">
      <c r="D64" s="8">
        <v>82.6</v>
      </c>
    </row>
  </sheetData>
  <mergeCells count="4">
    <mergeCell ref="P5:Q5"/>
    <mergeCell ref="F5:H5"/>
    <mergeCell ref="J5:K5"/>
    <mergeCell ref="M5:N5"/>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CD06-FA79-4E0E-8D94-F818CF0B14A5}">
  <sheetPr codeName="Sheet36">
    <tabColor theme="9" tint="0.59999389629810485"/>
  </sheetPr>
  <dimension ref="B1:P100"/>
  <sheetViews>
    <sheetView showGridLines="0" workbookViewId="0"/>
  </sheetViews>
  <sheetFormatPr defaultRowHeight="14.4" x14ac:dyDescent="0.3"/>
  <cols>
    <col min="1" max="1" width="2.88671875" customWidth="1"/>
    <col min="2" max="2" width="11.44140625" customWidth="1"/>
    <col min="3" max="3" width="20" customWidth="1"/>
    <col min="5" max="5" width="15.44140625" bestFit="1" customWidth="1"/>
    <col min="6" max="7" width="14.33203125" customWidth="1"/>
    <col min="9" max="10" width="11.44140625" customWidth="1"/>
    <col min="12" max="12" width="19.88671875" bestFit="1" customWidth="1"/>
    <col min="13" max="13" width="12" bestFit="1" customWidth="1"/>
    <col min="15" max="15" width="14.33203125" customWidth="1"/>
    <col min="16" max="16" width="11.44140625" customWidth="1"/>
  </cols>
  <sheetData>
    <row r="1" spans="2:16" ht="25.5" customHeight="1" x14ac:dyDescent="0.35">
      <c r="B1" s="17" t="s">
        <v>168</v>
      </c>
    </row>
    <row r="2" spans="2:16" ht="15" customHeight="1" x14ac:dyDescent="0.3">
      <c r="B2" s="27" t="s">
        <v>161</v>
      </c>
    </row>
    <row r="3" spans="2:16" ht="18" customHeight="1" x14ac:dyDescent="0.3"/>
    <row r="4" spans="2:16" x14ac:dyDescent="0.3">
      <c r="E4" s="3"/>
      <c r="I4" s="3"/>
      <c r="L4" s="3"/>
      <c r="O4" s="3"/>
    </row>
    <row r="5" spans="2:16" x14ac:dyDescent="0.3">
      <c r="B5" s="36" t="s">
        <v>11</v>
      </c>
      <c r="C5" s="37" t="s">
        <v>22</v>
      </c>
      <c r="E5" s="109" t="s">
        <v>128</v>
      </c>
      <c r="F5" s="109"/>
      <c r="G5" s="109"/>
      <c r="I5" s="108" t="s">
        <v>165</v>
      </c>
      <c r="J5" s="108"/>
      <c r="L5" s="108" t="s">
        <v>130</v>
      </c>
      <c r="M5" s="108"/>
      <c r="O5" s="108" t="s">
        <v>136</v>
      </c>
      <c r="P5" s="108"/>
    </row>
    <row r="6" spans="2:16" ht="15.6" x14ac:dyDescent="0.35">
      <c r="B6" s="8" t="s">
        <v>12</v>
      </c>
      <c r="C6" s="8">
        <v>276</v>
      </c>
      <c r="F6" s="16" t="s">
        <v>12</v>
      </c>
      <c r="G6" s="16" t="s">
        <v>13</v>
      </c>
      <c r="I6" s="19" t="s">
        <v>166</v>
      </c>
      <c r="J6" s="67">
        <f>F9-G9</f>
        <v>70.528301886792462</v>
      </c>
      <c r="L6" s="19" t="s">
        <v>131</v>
      </c>
      <c r="M6" s="71">
        <v>0.9</v>
      </c>
      <c r="O6" s="19" t="s">
        <v>137</v>
      </c>
      <c r="P6" s="67">
        <f>J6+M12</f>
        <v>40.555836759906974</v>
      </c>
    </row>
    <row r="7" spans="2:16" x14ac:dyDescent="0.3">
      <c r="B7" s="8" t="s">
        <v>13</v>
      </c>
      <c r="C7" s="8">
        <v>410</v>
      </c>
      <c r="E7" s="19" t="s">
        <v>162</v>
      </c>
      <c r="F7" s="65">
        <f>COUNTIF(B6:B100,"Placed")</f>
        <v>53</v>
      </c>
      <c r="G7" s="65">
        <f>COUNTIF(B6:B100,"Not Placed")</f>
        <v>42</v>
      </c>
      <c r="L7" s="19" t="s">
        <v>132</v>
      </c>
      <c r="M7" s="76">
        <f>1-M6</f>
        <v>9.9999999999999978E-2</v>
      </c>
      <c r="O7" s="19" t="s">
        <v>138</v>
      </c>
      <c r="P7" s="67">
        <f>J6-M12</f>
        <v>100.50076701367794</v>
      </c>
    </row>
    <row r="8" spans="2:16" x14ac:dyDescent="0.3">
      <c r="B8" s="8" t="s">
        <v>12</v>
      </c>
      <c r="C8" s="8">
        <v>119</v>
      </c>
      <c r="E8" s="19" t="s">
        <v>170</v>
      </c>
      <c r="F8" s="65">
        <f>F7-1</f>
        <v>52</v>
      </c>
      <c r="G8" s="65">
        <f>G7-1</f>
        <v>41</v>
      </c>
      <c r="L8" s="19" t="s">
        <v>133</v>
      </c>
      <c r="M8" s="65">
        <f>M7/2</f>
        <v>4.9999999999999989E-2</v>
      </c>
    </row>
    <row r="9" spans="2:16" x14ac:dyDescent="0.3">
      <c r="B9" s="8" t="s">
        <v>13</v>
      </c>
      <c r="C9" s="8">
        <v>334</v>
      </c>
      <c r="E9" s="19" t="s">
        <v>163</v>
      </c>
      <c r="F9" s="67">
        <f>AVERAGEIFS($C$6:$C$100,$B$6:$B$100,F6)</f>
        <v>320.52830188679246</v>
      </c>
      <c r="G9" s="67">
        <f>AVERAGEIFS($C$6:$C$100,$B$6:$B$100,G6)</f>
        <v>250</v>
      </c>
      <c r="L9" s="19" t="s">
        <v>167</v>
      </c>
      <c r="M9" s="69">
        <f>SUM(F11:G11)^2/SUM(F11^2/F8,G11^2/G8)</f>
        <v>87.464124652300455</v>
      </c>
    </row>
    <row r="10" spans="2:16" ht="16.2" x14ac:dyDescent="0.3">
      <c r="B10" s="8" t="s">
        <v>13</v>
      </c>
      <c r="C10" s="8">
        <v>252</v>
      </c>
      <c r="E10" s="19" t="s">
        <v>164</v>
      </c>
      <c r="F10" s="68" cm="1">
        <f t="array" ref="F10">_xlfn.VAR.S(IF($B$6:$B$100=F6,$C$6:$C$100))</f>
        <v>7479.7924528301946</v>
      </c>
      <c r="G10" s="68" cm="1">
        <f t="array" ref="G10">_xlfn.VAR.S(IF($B$6:$B$100=G6,$C$6:$C$100))</f>
        <v>7722.8780487804879</v>
      </c>
      <c r="L10" s="19" t="s">
        <v>144</v>
      </c>
      <c r="M10" s="64">
        <f>_xlfn.T.INV(M8,M9)</f>
        <v>-1.662557349412876</v>
      </c>
    </row>
    <row r="11" spans="2:16" ht="16.2" x14ac:dyDescent="0.3">
      <c r="B11" s="8" t="s">
        <v>13</v>
      </c>
      <c r="C11" s="8">
        <v>209</v>
      </c>
      <c r="E11" s="19" t="s">
        <v>169</v>
      </c>
      <c r="F11" s="64">
        <f>F10/F7</f>
        <v>141.12815948736215</v>
      </c>
      <c r="G11" s="64">
        <f>G10/G7</f>
        <v>183.8780487804878</v>
      </c>
      <c r="L11" s="19" t="s">
        <v>135</v>
      </c>
      <c r="M11" s="69">
        <f>SQRT(SUM(F11:G11))</f>
        <v>18.027928562867391</v>
      </c>
    </row>
    <row r="12" spans="2:16" x14ac:dyDescent="0.3">
      <c r="B12" s="8" t="s">
        <v>12</v>
      </c>
      <c r="C12" s="8">
        <v>462</v>
      </c>
      <c r="L12" s="19" t="s">
        <v>139</v>
      </c>
      <c r="M12" s="69">
        <f>M11*M10</f>
        <v>-29.972465126885488</v>
      </c>
    </row>
    <row r="13" spans="2:16" x14ac:dyDescent="0.3">
      <c r="B13" s="8" t="s">
        <v>12</v>
      </c>
      <c r="C13" s="8">
        <v>342</v>
      </c>
    </row>
    <row r="14" spans="2:16" x14ac:dyDescent="0.3">
      <c r="B14" s="8" t="s">
        <v>12</v>
      </c>
      <c r="C14" s="8">
        <v>347</v>
      </c>
    </row>
    <row r="15" spans="2:16" x14ac:dyDescent="0.3">
      <c r="B15" s="8" t="s">
        <v>12</v>
      </c>
      <c r="C15" s="8">
        <v>313</v>
      </c>
    </row>
    <row r="16" spans="2:16" x14ac:dyDescent="0.3">
      <c r="B16" s="8" t="s">
        <v>13</v>
      </c>
      <c r="C16" s="8">
        <v>232</v>
      </c>
    </row>
    <row r="17" spans="2:3" x14ac:dyDescent="0.3">
      <c r="B17" s="8" t="s">
        <v>12</v>
      </c>
      <c r="C17" s="8">
        <v>163</v>
      </c>
    </row>
    <row r="18" spans="2:3" x14ac:dyDescent="0.3">
      <c r="B18" s="8" t="s">
        <v>13</v>
      </c>
      <c r="C18" s="8">
        <v>119</v>
      </c>
    </row>
    <row r="19" spans="2:3" x14ac:dyDescent="0.3">
      <c r="B19" s="8" t="s">
        <v>12</v>
      </c>
      <c r="C19" s="8">
        <v>304</v>
      </c>
    </row>
    <row r="20" spans="2:3" x14ac:dyDescent="0.3">
      <c r="B20" s="8" t="s">
        <v>12</v>
      </c>
      <c r="C20" s="8">
        <v>211</v>
      </c>
    </row>
    <row r="21" spans="2:3" x14ac:dyDescent="0.3">
      <c r="B21" s="8" t="s">
        <v>12</v>
      </c>
      <c r="C21" s="8">
        <v>286</v>
      </c>
    </row>
    <row r="22" spans="2:3" x14ac:dyDescent="0.3">
      <c r="B22" s="8" t="s">
        <v>13</v>
      </c>
      <c r="C22" s="8">
        <v>122</v>
      </c>
    </row>
    <row r="23" spans="2:3" x14ac:dyDescent="0.3">
      <c r="B23" s="8" t="s">
        <v>12</v>
      </c>
      <c r="C23" s="8">
        <v>443</v>
      </c>
    </row>
    <row r="24" spans="2:3" x14ac:dyDescent="0.3">
      <c r="B24" s="8" t="s">
        <v>13</v>
      </c>
      <c r="C24" s="8">
        <v>366</v>
      </c>
    </row>
    <row r="25" spans="2:3" x14ac:dyDescent="0.3">
      <c r="B25" s="8" t="s">
        <v>13</v>
      </c>
      <c r="C25" s="8">
        <v>244</v>
      </c>
    </row>
    <row r="26" spans="2:3" x14ac:dyDescent="0.3">
      <c r="B26" s="8" t="s">
        <v>13</v>
      </c>
      <c r="C26" s="8">
        <v>241</v>
      </c>
    </row>
    <row r="27" spans="2:3" x14ac:dyDescent="0.3">
      <c r="B27" s="8" t="s">
        <v>12</v>
      </c>
      <c r="C27" s="8">
        <v>237</v>
      </c>
    </row>
    <row r="28" spans="2:3" x14ac:dyDescent="0.3">
      <c r="B28" s="8" t="s">
        <v>13</v>
      </c>
      <c r="C28" s="8">
        <v>122</v>
      </c>
    </row>
    <row r="29" spans="2:3" x14ac:dyDescent="0.3">
      <c r="B29" s="8" t="s">
        <v>13</v>
      </c>
      <c r="C29" s="8">
        <v>129</v>
      </c>
    </row>
    <row r="30" spans="2:3" x14ac:dyDescent="0.3">
      <c r="B30" s="8" t="s">
        <v>12</v>
      </c>
      <c r="C30" s="8">
        <v>236</v>
      </c>
    </row>
    <row r="31" spans="2:3" x14ac:dyDescent="0.3">
      <c r="B31" s="8" t="s">
        <v>12</v>
      </c>
      <c r="C31" s="8">
        <v>251</v>
      </c>
    </row>
    <row r="32" spans="2:3" x14ac:dyDescent="0.3">
      <c r="B32" s="8" t="s">
        <v>12</v>
      </c>
      <c r="C32" s="8">
        <v>283</v>
      </c>
    </row>
    <row r="33" spans="2:3" x14ac:dyDescent="0.3">
      <c r="B33" s="8" t="s">
        <v>13</v>
      </c>
      <c r="C33" s="8">
        <v>225</v>
      </c>
    </row>
    <row r="34" spans="2:3" x14ac:dyDescent="0.3">
      <c r="B34" s="8" t="s">
        <v>13</v>
      </c>
      <c r="C34" s="8">
        <v>102</v>
      </c>
    </row>
    <row r="35" spans="2:3" x14ac:dyDescent="0.3">
      <c r="B35" s="8" t="s">
        <v>12</v>
      </c>
      <c r="C35" s="8">
        <v>180</v>
      </c>
    </row>
    <row r="36" spans="2:3" x14ac:dyDescent="0.3">
      <c r="B36" s="8" t="s">
        <v>13</v>
      </c>
      <c r="C36" s="8">
        <v>247</v>
      </c>
    </row>
    <row r="37" spans="2:3" x14ac:dyDescent="0.3">
      <c r="B37" s="8" t="s">
        <v>13</v>
      </c>
      <c r="C37" s="8">
        <v>343</v>
      </c>
    </row>
    <row r="38" spans="2:3" x14ac:dyDescent="0.3">
      <c r="B38" s="8" t="s">
        <v>13</v>
      </c>
      <c r="C38" s="8">
        <v>283</v>
      </c>
    </row>
    <row r="39" spans="2:3" x14ac:dyDescent="0.3">
      <c r="B39" s="8" t="s">
        <v>12</v>
      </c>
      <c r="C39" s="8">
        <v>253</v>
      </c>
    </row>
    <row r="40" spans="2:3" x14ac:dyDescent="0.3">
      <c r="B40" s="8" t="s">
        <v>13</v>
      </c>
      <c r="C40" s="8">
        <v>263</v>
      </c>
    </row>
    <row r="41" spans="2:3" x14ac:dyDescent="0.3">
      <c r="B41" s="8" t="s">
        <v>12</v>
      </c>
      <c r="C41" s="8">
        <v>291</v>
      </c>
    </row>
    <row r="42" spans="2:3" x14ac:dyDescent="0.3">
      <c r="B42" s="8" t="s">
        <v>12</v>
      </c>
      <c r="C42" s="8">
        <v>368</v>
      </c>
    </row>
    <row r="43" spans="2:3" x14ac:dyDescent="0.3">
      <c r="B43" s="8" t="s">
        <v>13</v>
      </c>
      <c r="C43" s="8">
        <v>206</v>
      </c>
    </row>
    <row r="44" spans="2:3" x14ac:dyDescent="0.3">
      <c r="B44" s="8" t="s">
        <v>13</v>
      </c>
      <c r="C44" s="8">
        <v>231</v>
      </c>
    </row>
    <row r="45" spans="2:3" x14ac:dyDescent="0.3">
      <c r="B45" s="8" t="s">
        <v>13</v>
      </c>
      <c r="C45" s="8">
        <v>389</v>
      </c>
    </row>
    <row r="46" spans="2:3" x14ac:dyDescent="0.3">
      <c r="B46" s="8" t="s">
        <v>12</v>
      </c>
      <c r="C46" s="8">
        <v>396</v>
      </c>
    </row>
    <row r="47" spans="2:3" x14ac:dyDescent="0.3">
      <c r="B47" s="8" t="s">
        <v>12</v>
      </c>
      <c r="C47" s="8">
        <v>339</v>
      </c>
    </row>
    <row r="48" spans="2:3" x14ac:dyDescent="0.3">
      <c r="B48" s="8" t="s">
        <v>12</v>
      </c>
      <c r="C48" s="8">
        <v>286</v>
      </c>
    </row>
    <row r="49" spans="2:3" x14ac:dyDescent="0.3">
      <c r="B49" s="8" t="s">
        <v>13</v>
      </c>
      <c r="C49" s="8">
        <v>146</v>
      </c>
    </row>
    <row r="50" spans="2:3" x14ac:dyDescent="0.3">
      <c r="B50" s="8" t="s">
        <v>12</v>
      </c>
      <c r="C50" s="8">
        <v>315</v>
      </c>
    </row>
    <row r="51" spans="2:3" x14ac:dyDescent="0.3">
      <c r="B51" s="8" t="s">
        <v>13</v>
      </c>
      <c r="C51" s="8">
        <v>183</v>
      </c>
    </row>
    <row r="52" spans="2:3" x14ac:dyDescent="0.3">
      <c r="B52" s="8" t="s">
        <v>12</v>
      </c>
      <c r="C52" s="8">
        <v>481</v>
      </c>
    </row>
    <row r="53" spans="2:3" x14ac:dyDescent="0.3">
      <c r="B53" s="8" t="s">
        <v>13</v>
      </c>
      <c r="C53" s="8">
        <v>349</v>
      </c>
    </row>
    <row r="54" spans="2:3" x14ac:dyDescent="0.3">
      <c r="B54" s="8" t="s">
        <v>12</v>
      </c>
      <c r="C54" s="8">
        <v>225</v>
      </c>
    </row>
    <row r="55" spans="2:3" x14ac:dyDescent="0.3">
      <c r="B55" s="8" t="s">
        <v>12</v>
      </c>
      <c r="C55" s="8">
        <v>217</v>
      </c>
    </row>
    <row r="56" spans="2:3" x14ac:dyDescent="0.3">
      <c r="B56" s="8" t="s">
        <v>12</v>
      </c>
      <c r="C56" s="8">
        <v>353</v>
      </c>
    </row>
    <row r="57" spans="2:3" x14ac:dyDescent="0.3">
      <c r="B57" s="8" t="s">
        <v>13</v>
      </c>
      <c r="C57" s="8">
        <v>314</v>
      </c>
    </row>
    <row r="58" spans="2:3" x14ac:dyDescent="0.3">
      <c r="B58" s="8" t="s">
        <v>12</v>
      </c>
      <c r="C58" s="8">
        <v>247</v>
      </c>
    </row>
    <row r="59" spans="2:3" x14ac:dyDescent="0.3">
      <c r="B59" s="8" t="s">
        <v>12</v>
      </c>
      <c r="C59" s="8">
        <v>410</v>
      </c>
    </row>
    <row r="60" spans="2:3" x14ac:dyDescent="0.3">
      <c r="B60" s="8" t="s">
        <v>12</v>
      </c>
      <c r="C60" s="8">
        <v>395</v>
      </c>
    </row>
    <row r="61" spans="2:3" x14ac:dyDescent="0.3">
      <c r="B61" s="8" t="s">
        <v>12</v>
      </c>
      <c r="C61" s="8">
        <v>416</v>
      </c>
    </row>
    <row r="62" spans="2:3" x14ac:dyDescent="0.3">
      <c r="B62" s="8" t="s">
        <v>12</v>
      </c>
      <c r="C62" s="8">
        <v>342</v>
      </c>
    </row>
    <row r="63" spans="2:3" x14ac:dyDescent="0.3">
      <c r="B63" s="8" t="s">
        <v>12</v>
      </c>
      <c r="C63" s="8">
        <v>446</v>
      </c>
    </row>
    <row r="64" spans="2:3" x14ac:dyDescent="0.3">
      <c r="B64" s="8" t="s">
        <v>12</v>
      </c>
      <c r="C64" s="8">
        <v>477</v>
      </c>
    </row>
    <row r="65" spans="2:3" x14ac:dyDescent="0.3">
      <c r="B65" s="8" t="s">
        <v>12</v>
      </c>
      <c r="C65" s="8">
        <v>444</v>
      </c>
    </row>
    <row r="66" spans="2:3" x14ac:dyDescent="0.3">
      <c r="B66" s="8" t="s">
        <v>12</v>
      </c>
      <c r="C66" s="8">
        <v>351</v>
      </c>
    </row>
    <row r="67" spans="2:3" x14ac:dyDescent="0.3">
      <c r="B67" s="8" t="s">
        <v>13</v>
      </c>
      <c r="C67" s="8">
        <v>165</v>
      </c>
    </row>
    <row r="68" spans="2:3" x14ac:dyDescent="0.3">
      <c r="B68" s="8" t="s">
        <v>12</v>
      </c>
      <c r="C68" s="8">
        <v>317</v>
      </c>
    </row>
    <row r="69" spans="2:3" x14ac:dyDescent="0.3">
      <c r="B69" s="8" t="s">
        <v>12</v>
      </c>
      <c r="C69" s="8">
        <v>250</v>
      </c>
    </row>
    <row r="70" spans="2:3" x14ac:dyDescent="0.3">
      <c r="B70" s="8" t="s">
        <v>13</v>
      </c>
      <c r="C70" s="8">
        <v>217</v>
      </c>
    </row>
    <row r="71" spans="2:3" x14ac:dyDescent="0.3">
      <c r="B71" s="8" t="s">
        <v>13</v>
      </c>
      <c r="C71" s="8">
        <v>138</v>
      </c>
    </row>
    <row r="72" spans="2:3" x14ac:dyDescent="0.3">
      <c r="B72" s="8" t="s">
        <v>12</v>
      </c>
      <c r="C72" s="8">
        <v>302</v>
      </c>
    </row>
    <row r="73" spans="2:3" x14ac:dyDescent="0.3">
      <c r="B73" s="8" t="s">
        <v>13</v>
      </c>
      <c r="C73" s="8">
        <v>311</v>
      </c>
    </row>
    <row r="74" spans="2:3" x14ac:dyDescent="0.3">
      <c r="B74" s="8" t="s">
        <v>12</v>
      </c>
      <c r="C74" s="8">
        <v>373</v>
      </c>
    </row>
    <row r="75" spans="2:3" x14ac:dyDescent="0.3">
      <c r="B75" s="8" t="s">
        <v>13</v>
      </c>
      <c r="C75" s="8">
        <v>196</v>
      </c>
    </row>
    <row r="76" spans="2:3" x14ac:dyDescent="0.3">
      <c r="B76" s="8" t="s">
        <v>12</v>
      </c>
      <c r="C76" s="8">
        <v>306</v>
      </c>
    </row>
    <row r="77" spans="2:3" x14ac:dyDescent="0.3">
      <c r="B77" s="8" t="s">
        <v>13</v>
      </c>
      <c r="C77" s="8">
        <v>302</v>
      </c>
    </row>
    <row r="78" spans="2:3" x14ac:dyDescent="0.3">
      <c r="B78" s="8" t="s">
        <v>13</v>
      </c>
      <c r="C78" s="8">
        <v>278</v>
      </c>
    </row>
    <row r="79" spans="2:3" x14ac:dyDescent="0.3">
      <c r="B79" s="8" t="s">
        <v>13</v>
      </c>
      <c r="C79" s="8">
        <v>429</v>
      </c>
    </row>
    <row r="80" spans="2:3" x14ac:dyDescent="0.3">
      <c r="B80" s="8" t="s">
        <v>12</v>
      </c>
      <c r="C80" s="8">
        <v>338</v>
      </c>
    </row>
    <row r="81" spans="2:3" x14ac:dyDescent="0.3">
      <c r="B81" s="8" t="s">
        <v>13</v>
      </c>
      <c r="C81" s="8">
        <v>261</v>
      </c>
    </row>
    <row r="82" spans="2:3" x14ac:dyDescent="0.3">
      <c r="B82" s="8" t="s">
        <v>13</v>
      </c>
      <c r="C82" s="8">
        <v>256</v>
      </c>
    </row>
    <row r="83" spans="2:3" x14ac:dyDescent="0.3">
      <c r="B83" s="8" t="s">
        <v>12</v>
      </c>
      <c r="C83" s="8">
        <v>183</v>
      </c>
    </row>
    <row r="84" spans="2:3" x14ac:dyDescent="0.3">
      <c r="B84" s="8" t="s">
        <v>12</v>
      </c>
      <c r="C84" s="8">
        <v>274</v>
      </c>
    </row>
    <row r="85" spans="2:3" x14ac:dyDescent="0.3">
      <c r="B85" s="8" t="s">
        <v>13</v>
      </c>
      <c r="C85" s="8">
        <v>182</v>
      </c>
    </row>
    <row r="86" spans="2:3" x14ac:dyDescent="0.3">
      <c r="B86" s="8" t="s">
        <v>13</v>
      </c>
      <c r="C86" s="8">
        <v>183</v>
      </c>
    </row>
    <row r="87" spans="2:3" x14ac:dyDescent="0.3">
      <c r="B87" s="8" t="s">
        <v>12</v>
      </c>
      <c r="C87" s="8">
        <v>309</v>
      </c>
    </row>
    <row r="88" spans="2:3" x14ac:dyDescent="0.3">
      <c r="B88" s="8" t="s">
        <v>13</v>
      </c>
      <c r="C88" s="8">
        <v>178</v>
      </c>
    </row>
    <row r="89" spans="2:3" x14ac:dyDescent="0.3">
      <c r="B89" s="8" t="s">
        <v>12</v>
      </c>
      <c r="C89" s="8">
        <v>458</v>
      </c>
    </row>
    <row r="90" spans="2:3" x14ac:dyDescent="0.3">
      <c r="B90" s="8" t="s">
        <v>12</v>
      </c>
      <c r="C90" s="8">
        <v>234</v>
      </c>
    </row>
    <row r="91" spans="2:3" x14ac:dyDescent="0.3">
      <c r="B91" s="8" t="s">
        <v>12</v>
      </c>
      <c r="C91" s="8">
        <v>306</v>
      </c>
    </row>
    <row r="92" spans="2:3" x14ac:dyDescent="0.3">
      <c r="B92" s="8" t="s">
        <v>12</v>
      </c>
      <c r="C92" s="8">
        <v>400</v>
      </c>
    </row>
    <row r="93" spans="2:3" x14ac:dyDescent="0.3">
      <c r="B93" s="8" t="s">
        <v>13</v>
      </c>
      <c r="C93" s="8">
        <v>337</v>
      </c>
    </row>
    <row r="94" spans="2:3" x14ac:dyDescent="0.3">
      <c r="B94" s="8" t="s">
        <v>12</v>
      </c>
      <c r="C94" s="8">
        <v>325</v>
      </c>
    </row>
    <row r="95" spans="2:3" x14ac:dyDescent="0.3">
      <c r="B95" s="8" t="s">
        <v>13</v>
      </c>
      <c r="C95" s="8">
        <v>329</v>
      </c>
    </row>
    <row r="96" spans="2:3" x14ac:dyDescent="0.3">
      <c r="B96" s="8" t="s">
        <v>12</v>
      </c>
      <c r="C96" s="8">
        <v>369</v>
      </c>
    </row>
    <row r="97" spans="2:3" x14ac:dyDescent="0.3">
      <c r="B97" s="8" t="s">
        <v>12</v>
      </c>
      <c r="C97" s="8">
        <v>457</v>
      </c>
    </row>
    <row r="98" spans="2:3" x14ac:dyDescent="0.3">
      <c r="B98" s="8" t="s">
        <v>13</v>
      </c>
      <c r="C98" s="8">
        <v>421</v>
      </c>
    </row>
    <row r="99" spans="2:3" x14ac:dyDescent="0.3">
      <c r="B99" s="8" t="s">
        <v>12</v>
      </c>
      <c r="C99" s="8">
        <v>282</v>
      </c>
    </row>
    <row r="100" spans="2:3" x14ac:dyDescent="0.3">
      <c r="B100" s="8" t="s">
        <v>13</v>
      </c>
      <c r="C100" s="8">
        <v>256</v>
      </c>
    </row>
  </sheetData>
  <mergeCells count="4">
    <mergeCell ref="E5:G5"/>
    <mergeCell ref="I5:J5"/>
    <mergeCell ref="L5:M5"/>
    <mergeCell ref="O5:P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181C1-40FC-4F8D-AAEC-83F20D58236E}">
  <sheetPr codeName="Sheet37">
    <tabColor theme="9" tint="0.79998168889431442"/>
  </sheetPr>
  <dimension ref="B1:P100"/>
  <sheetViews>
    <sheetView showGridLines="0" workbookViewId="0">
      <selection activeCell="P8" sqref="P8"/>
    </sheetView>
  </sheetViews>
  <sheetFormatPr defaultRowHeight="14.4" x14ac:dyDescent="0.3"/>
  <cols>
    <col min="1" max="1" width="2.88671875" customWidth="1"/>
    <col min="2" max="2" width="17.109375" customWidth="1"/>
    <col min="3" max="3" width="11.44140625" customWidth="1"/>
    <col min="5" max="5" width="15.44140625" bestFit="1" customWidth="1"/>
    <col min="6" max="7" width="9.109375" customWidth="1"/>
    <col min="9" max="10" width="11.44140625" customWidth="1"/>
    <col min="12" max="12" width="19.88671875" bestFit="1" customWidth="1"/>
    <col min="13" max="13" width="12" bestFit="1" customWidth="1"/>
    <col min="15" max="15" width="14.33203125" customWidth="1"/>
    <col min="16" max="16" width="11.44140625" customWidth="1"/>
  </cols>
  <sheetData>
    <row r="1" spans="2:16" ht="25.5" customHeight="1" x14ac:dyDescent="0.35">
      <c r="B1" s="17" t="s">
        <v>173</v>
      </c>
    </row>
    <row r="2" spans="2:16" ht="15" customHeight="1" x14ac:dyDescent="0.3">
      <c r="B2" s="27" t="s">
        <v>172</v>
      </c>
    </row>
    <row r="3" spans="2:16" ht="18" customHeight="1" x14ac:dyDescent="0.3"/>
    <row r="4" spans="2:16" x14ac:dyDescent="0.3">
      <c r="E4" s="3"/>
      <c r="I4" s="3"/>
      <c r="L4" s="3"/>
      <c r="O4" s="3"/>
    </row>
    <row r="5" spans="2:16" x14ac:dyDescent="0.3">
      <c r="B5" s="36" t="s">
        <v>20</v>
      </c>
      <c r="C5" s="37" t="s">
        <v>11</v>
      </c>
      <c r="E5" s="108" t="s">
        <v>128</v>
      </c>
      <c r="F5" s="108"/>
      <c r="G5" s="108"/>
      <c r="I5" s="108" t="s">
        <v>165</v>
      </c>
      <c r="J5" s="108"/>
      <c r="L5" s="108" t="s">
        <v>130</v>
      </c>
      <c r="M5" s="108"/>
      <c r="O5" s="108" t="s">
        <v>136</v>
      </c>
      <c r="P5" s="108"/>
    </row>
    <row r="6" spans="2:16" ht="15.6" x14ac:dyDescent="0.35">
      <c r="B6" s="8" t="s">
        <v>24</v>
      </c>
      <c r="C6" s="8" t="s">
        <v>12</v>
      </c>
      <c r="F6" s="16" t="s">
        <v>26</v>
      </c>
      <c r="G6" s="16" t="s">
        <v>24</v>
      </c>
      <c r="I6" s="19" t="s">
        <v>272</v>
      </c>
      <c r="J6" s="64">
        <f>F8-G8</f>
        <v>0.23913043478260865</v>
      </c>
      <c r="L6" s="19" t="s">
        <v>131</v>
      </c>
      <c r="M6" s="71">
        <v>0.99</v>
      </c>
      <c r="O6" s="19" t="s">
        <v>137</v>
      </c>
      <c r="P6" s="82">
        <f>J6-M11</f>
        <v>-4.1334137258359216E-2</v>
      </c>
    </row>
    <row r="7" spans="2:16" x14ac:dyDescent="0.3">
      <c r="B7" s="8" t="s">
        <v>24</v>
      </c>
      <c r="C7" s="8" t="s">
        <v>13</v>
      </c>
      <c r="E7" s="19" t="s">
        <v>162</v>
      </c>
      <c r="F7" s="65">
        <f>COUNTIFS($B$6:$B$100,F6)</f>
        <v>23</v>
      </c>
      <c r="G7" s="65">
        <f>COUNTIFS($B$6:$B$100,G6)</f>
        <v>72</v>
      </c>
      <c r="L7" s="19" t="s">
        <v>132</v>
      </c>
      <c r="M7" s="76">
        <f>1-M6</f>
        <v>1.0000000000000009E-2</v>
      </c>
      <c r="O7" s="19" t="s">
        <v>138</v>
      </c>
      <c r="P7" s="82">
        <f>J6+M11</f>
        <v>0.51959500682357651</v>
      </c>
    </row>
    <row r="8" spans="2:16" x14ac:dyDescent="0.3">
      <c r="B8" s="8" t="s">
        <v>26</v>
      </c>
      <c r="C8" s="8" t="s">
        <v>12</v>
      </c>
      <c r="E8" s="19" t="s">
        <v>174</v>
      </c>
      <c r="F8" s="64">
        <f>COUNTIFS($B$6:$B$100,F6,$C$6:$C$100,"Placed")/F7</f>
        <v>0.73913043478260865</v>
      </c>
      <c r="G8" s="64">
        <f>COUNTIFS($B$6:$B$100,G6,$C$6:$C$100,"Placed")/G7</f>
        <v>0.5</v>
      </c>
      <c r="L8" s="19" t="s">
        <v>133</v>
      </c>
      <c r="M8" s="65">
        <f>M7/2</f>
        <v>5.0000000000000044E-3</v>
      </c>
    </row>
    <row r="9" spans="2:16" x14ac:dyDescent="0.3">
      <c r="B9" s="8" t="s">
        <v>24</v>
      </c>
      <c r="C9" s="8" t="s">
        <v>13</v>
      </c>
      <c r="E9" s="19" t="s">
        <v>147</v>
      </c>
      <c r="F9" s="64">
        <f>1-F8</f>
        <v>0.26086956521739135</v>
      </c>
      <c r="G9" s="64">
        <f>1-G8</f>
        <v>0.5</v>
      </c>
      <c r="L9" s="19" t="s">
        <v>141</v>
      </c>
      <c r="M9" s="64">
        <f>_xlfn.NORM.S.INV(1-M8)</f>
        <v>2.5758293035488999</v>
      </c>
    </row>
    <row r="10" spans="2:16" x14ac:dyDescent="0.3">
      <c r="B10" s="8" t="s">
        <v>24</v>
      </c>
      <c r="C10" s="8" t="s">
        <v>13</v>
      </c>
      <c r="E10" s="19"/>
      <c r="F10" s="40"/>
      <c r="G10" s="40"/>
      <c r="L10" s="19" t="s">
        <v>135</v>
      </c>
      <c r="M10" s="64">
        <f>SQRT((SUM(F8*F9/F7,G8*G9/G7)))</f>
        <v>0.10888321351673119</v>
      </c>
    </row>
    <row r="11" spans="2:16" x14ac:dyDescent="0.3">
      <c r="B11" s="8" t="s">
        <v>24</v>
      </c>
      <c r="C11" s="8" t="s">
        <v>13</v>
      </c>
      <c r="E11" s="108" t="s">
        <v>151</v>
      </c>
      <c r="F11" s="108"/>
      <c r="G11" s="108"/>
      <c r="L11" s="19" t="s">
        <v>139</v>
      </c>
      <c r="M11" s="64">
        <f>M10*M9</f>
        <v>0.28046457204096786</v>
      </c>
    </row>
    <row r="12" spans="2:16" x14ac:dyDescent="0.3">
      <c r="B12" s="8" t="s">
        <v>24</v>
      </c>
      <c r="C12" s="8" t="s">
        <v>12</v>
      </c>
      <c r="E12" s="19" t="s">
        <v>273</v>
      </c>
      <c r="F12" s="65">
        <f>F8*F7</f>
        <v>17</v>
      </c>
      <c r="G12" s="65">
        <f>G8*G7</f>
        <v>36</v>
      </c>
    </row>
    <row r="13" spans="2:16" x14ac:dyDescent="0.3">
      <c r="B13" s="8" t="s">
        <v>24</v>
      </c>
      <c r="C13" s="8" t="s">
        <v>12</v>
      </c>
      <c r="E13" s="19" t="s">
        <v>153</v>
      </c>
      <c r="F13" s="65">
        <f>1-F8*F7</f>
        <v>-16</v>
      </c>
      <c r="G13" s="65">
        <f>1-G8*G7</f>
        <v>-35</v>
      </c>
    </row>
    <row r="14" spans="2:16" x14ac:dyDescent="0.3">
      <c r="B14" s="8" t="s">
        <v>24</v>
      </c>
      <c r="C14" s="8" t="s">
        <v>12</v>
      </c>
    </row>
    <row r="15" spans="2:16" x14ac:dyDescent="0.3">
      <c r="B15" s="8" t="s">
        <v>24</v>
      </c>
      <c r="C15" s="8" t="s">
        <v>12</v>
      </c>
    </row>
    <row r="16" spans="2:16" x14ac:dyDescent="0.3">
      <c r="B16" s="8" t="s">
        <v>24</v>
      </c>
      <c r="C16" s="8" t="s">
        <v>13</v>
      </c>
    </row>
    <row r="17" spans="2:3" x14ac:dyDescent="0.3">
      <c r="B17" s="8" t="s">
        <v>24</v>
      </c>
      <c r="C17" s="8" t="s">
        <v>12</v>
      </c>
    </row>
    <row r="18" spans="2:3" x14ac:dyDescent="0.3">
      <c r="B18" s="8" t="s">
        <v>24</v>
      </c>
      <c r="C18" s="8" t="s">
        <v>13</v>
      </c>
    </row>
    <row r="19" spans="2:3" x14ac:dyDescent="0.3">
      <c r="B19" s="8" t="s">
        <v>24</v>
      </c>
      <c r="C19" s="8" t="s">
        <v>12</v>
      </c>
    </row>
    <row r="20" spans="2:3" x14ac:dyDescent="0.3">
      <c r="B20" s="8" t="s">
        <v>24</v>
      </c>
      <c r="C20" s="8" t="s">
        <v>12</v>
      </c>
    </row>
    <row r="21" spans="2:3" x14ac:dyDescent="0.3">
      <c r="B21" s="8" t="s">
        <v>24</v>
      </c>
      <c r="C21" s="8" t="s">
        <v>12</v>
      </c>
    </row>
    <row r="22" spans="2:3" x14ac:dyDescent="0.3">
      <c r="B22" s="8" t="s">
        <v>26</v>
      </c>
      <c r="C22" s="8" t="s">
        <v>13</v>
      </c>
    </row>
    <row r="23" spans="2:3" x14ac:dyDescent="0.3">
      <c r="B23" s="8" t="s">
        <v>24</v>
      </c>
      <c r="C23" s="8" t="s">
        <v>12</v>
      </c>
    </row>
    <row r="24" spans="2:3" x14ac:dyDescent="0.3">
      <c r="B24" s="8" t="s">
        <v>24</v>
      </c>
      <c r="C24" s="8" t="s">
        <v>13</v>
      </c>
    </row>
    <row r="25" spans="2:3" x14ac:dyDescent="0.3">
      <c r="B25" s="8" t="s">
        <v>24</v>
      </c>
      <c r="C25" s="8" t="s">
        <v>13</v>
      </c>
    </row>
    <row r="26" spans="2:3" x14ac:dyDescent="0.3">
      <c r="B26" s="8" t="s">
        <v>24</v>
      </c>
      <c r="C26" s="8" t="s">
        <v>13</v>
      </c>
    </row>
    <row r="27" spans="2:3" x14ac:dyDescent="0.3">
      <c r="B27" s="8" t="s">
        <v>24</v>
      </c>
      <c r="C27" s="8" t="s">
        <v>12</v>
      </c>
    </row>
    <row r="28" spans="2:3" x14ac:dyDescent="0.3">
      <c r="B28" s="8" t="s">
        <v>24</v>
      </c>
      <c r="C28" s="8" t="s">
        <v>13</v>
      </c>
    </row>
    <row r="29" spans="2:3" x14ac:dyDescent="0.3">
      <c r="B29" s="8" t="s">
        <v>24</v>
      </c>
      <c r="C29" s="8" t="s">
        <v>13</v>
      </c>
    </row>
    <row r="30" spans="2:3" x14ac:dyDescent="0.3">
      <c r="B30" s="8" t="s">
        <v>24</v>
      </c>
      <c r="C30" s="8" t="s">
        <v>12</v>
      </c>
    </row>
    <row r="31" spans="2:3" x14ac:dyDescent="0.3">
      <c r="B31" s="8" t="s">
        <v>24</v>
      </c>
      <c r="C31" s="8" t="s">
        <v>12</v>
      </c>
    </row>
    <row r="32" spans="2:3" x14ac:dyDescent="0.3">
      <c r="B32" s="8" t="s">
        <v>24</v>
      </c>
      <c r="C32" s="8" t="s">
        <v>12</v>
      </c>
    </row>
    <row r="33" spans="2:3" x14ac:dyDescent="0.3">
      <c r="B33" s="8" t="s">
        <v>24</v>
      </c>
      <c r="C33" s="8" t="s">
        <v>13</v>
      </c>
    </row>
    <row r="34" spans="2:3" x14ac:dyDescent="0.3">
      <c r="B34" s="8" t="s">
        <v>24</v>
      </c>
      <c r="C34" s="8" t="s">
        <v>13</v>
      </c>
    </row>
    <row r="35" spans="2:3" x14ac:dyDescent="0.3">
      <c r="B35" s="8" t="s">
        <v>24</v>
      </c>
      <c r="C35" s="8" t="s">
        <v>12</v>
      </c>
    </row>
    <row r="36" spans="2:3" x14ac:dyDescent="0.3">
      <c r="B36" s="8" t="s">
        <v>24</v>
      </c>
      <c r="C36" s="8" t="s">
        <v>13</v>
      </c>
    </row>
    <row r="37" spans="2:3" x14ac:dyDescent="0.3">
      <c r="B37" s="8" t="s">
        <v>24</v>
      </c>
      <c r="C37" s="8" t="s">
        <v>13</v>
      </c>
    </row>
    <row r="38" spans="2:3" x14ac:dyDescent="0.3">
      <c r="B38" s="8" t="s">
        <v>24</v>
      </c>
      <c r="C38" s="8" t="s">
        <v>13</v>
      </c>
    </row>
    <row r="39" spans="2:3" x14ac:dyDescent="0.3">
      <c r="B39" s="8" t="s">
        <v>26</v>
      </c>
      <c r="C39" s="8" t="s">
        <v>12</v>
      </c>
    </row>
    <row r="40" spans="2:3" x14ac:dyDescent="0.3">
      <c r="B40" s="8" t="s">
        <v>24</v>
      </c>
      <c r="C40" s="8" t="s">
        <v>13</v>
      </c>
    </row>
    <row r="41" spans="2:3" x14ac:dyDescent="0.3">
      <c r="B41" s="8" t="s">
        <v>24</v>
      </c>
      <c r="C41" s="8" t="s">
        <v>12</v>
      </c>
    </row>
    <row r="42" spans="2:3" x14ac:dyDescent="0.3">
      <c r="B42" s="8" t="s">
        <v>26</v>
      </c>
      <c r="C42" s="8" t="s">
        <v>12</v>
      </c>
    </row>
    <row r="43" spans="2:3" x14ac:dyDescent="0.3">
      <c r="B43" s="8" t="s">
        <v>24</v>
      </c>
      <c r="C43" s="8" t="s">
        <v>13</v>
      </c>
    </row>
    <row r="44" spans="2:3" x14ac:dyDescent="0.3">
      <c r="B44" s="8" t="s">
        <v>24</v>
      </c>
      <c r="C44" s="8" t="s">
        <v>13</v>
      </c>
    </row>
    <row r="45" spans="2:3" x14ac:dyDescent="0.3">
      <c r="B45" s="8" t="s">
        <v>26</v>
      </c>
      <c r="C45" s="8" t="s">
        <v>13</v>
      </c>
    </row>
    <row r="46" spans="2:3" x14ac:dyDescent="0.3">
      <c r="B46" s="8" t="s">
        <v>24</v>
      </c>
      <c r="C46" s="8" t="s">
        <v>12</v>
      </c>
    </row>
    <row r="47" spans="2:3" x14ac:dyDescent="0.3">
      <c r="B47" s="8" t="s">
        <v>26</v>
      </c>
      <c r="C47" s="8" t="s">
        <v>12</v>
      </c>
    </row>
    <row r="48" spans="2:3" x14ac:dyDescent="0.3">
      <c r="B48" s="8" t="s">
        <v>26</v>
      </c>
      <c r="C48" s="8" t="s">
        <v>12</v>
      </c>
    </row>
    <row r="49" spans="2:3" x14ac:dyDescent="0.3">
      <c r="B49" s="8" t="s">
        <v>24</v>
      </c>
      <c r="C49" s="8" t="s">
        <v>13</v>
      </c>
    </row>
    <row r="50" spans="2:3" x14ac:dyDescent="0.3">
      <c r="B50" s="8" t="s">
        <v>24</v>
      </c>
      <c r="C50" s="8" t="s">
        <v>12</v>
      </c>
    </row>
    <row r="51" spans="2:3" x14ac:dyDescent="0.3">
      <c r="B51" s="8" t="s">
        <v>26</v>
      </c>
      <c r="C51" s="8" t="s">
        <v>13</v>
      </c>
    </row>
    <row r="52" spans="2:3" x14ac:dyDescent="0.3">
      <c r="B52" s="8" t="s">
        <v>24</v>
      </c>
      <c r="C52" s="8" t="s">
        <v>12</v>
      </c>
    </row>
    <row r="53" spans="2:3" x14ac:dyDescent="0.3">
      <c r="B53" s="8" t="s">
        <v>24</v>
      </c>
      <c r="C53" s="8" t="s">
        <v>13</v>
      </c>
    </row>
    <row r="54" spans="2:3" x14ac:dyDescent="0.3">
      <c r="B54" s="8" t="s">
        <v>24</v>
      </c>
      <c r="C54" s="8" t="s">
        <v>12</v>
      </c>
    </row>
    <row r="55" spans="2:3" x14ac:dyDescent="0.3">
      <c r="B55" s="8" t="s">
        <v>24</v>
      </c>
      <c r="C55" s="8" t="s">
        <v>12</v>
      </c>
    </row>
    <row r="56" spans="2:3" x14ac:dyDescent="0.3">
      <c r="B56" s="8" t="s">
        <v>26</v>
      </c>
      <c r="C56" s="8" t="s">
        <v>12</v>
      </c>
    </row>
    <row r="57" spans="2:3" x14ac:dyDescent="0.3">
      <c r="B57" s="8" t="s">
        <v>24</v>
      </c>
      <c r="C57" s="8" t="s">
        <v>13</v>
      </c>
    </row>
    <row r="58" spans="2:3" x14ac:dyDescent="0.3">
      <c r="B58" s="8" t="s">
        <v>26</v>
      </c>
      <c r="C58" s="8" t="s">
        <v>12</v>
      </c>
    </row>
    <row r="59" spans="2:3" x14ac:dyDescent="0.3">
      <c r="B59" s="8" t="s">
        <v>26</v>
      </c>
      <c r="C59" s="8" t="s">
        <v>12</v>
      </c>
    </row>
    <row r="60" spans="2:3" x14ac:dyDescent="0.3">
      <c r="B60" s="8" t="s">
        <v>26</v>
      </c>
      <c r="C60" s="8" t="s">
        <v>12</v>
      </c>
    </row>
    <row r="61" spans="2:3" x14ac:dyDescent="0.3">
      <c r="B61" s="8" t="s">
        <v>24</v>
      </c>
      <c r="C61" s="8" t="s">
        <v>12</v>
      </c>
    </row>
    <row r="62" spans="2:3" x14ac:dyDescent="0.3">
      <c r="B62" s="8" t="s">
        <v>26</v>
      </c>
      <c r="C62" s="8" t="s">
        <v>12</v>
      </c>
    </row>
    <row r="63" spans="2:3" x14ac:dyDescent="0.3">
      <c r="B63" s="8" t="s">
        <v>26</v>
      </c>
      <c r="C63" s="8" t="s">
        <v>12</v>
      </c>
    </row>
    <row r="64" spans="2:3" x14ac:dyDescent="0.3">
      <c r="B64" s="8" t="s">
        <v>26</v>
      </c>
      <c r="C64" s="8" t="s">
        <v>12</v>
      </c>
    </row>
    <row r="65" spans="2:3" x14ac:dyDescent="0.3">
      <c r="B65" s="8" t="s">
        <v>24</v>
      </c>
      <c r="C65" s="8" t="s">
        <v>12</v>
      </c>
    </row>
    <row r="66" spans="2:3" x14ac:dyDescent="0.3">
      <c r="B66" s="8" t="s">
        <v>24</v>
      </c>
      <c r="C66" s="8" t="s">
        <v>12</v>
      </c>
    </row>
    <row r="67" spans="2:3" x14ac:dyDescent="0.3">
      <c r="B67" s="8" t="s">
        <v>24</v>
      </c>
      <c r="C67" s="8" t="s">
        <v>13</v>
      </c>
    </row>
    <row r="68" spans="2:3" x14ac:dyDescent="0.3">
      <c r="B68" s="8" t="s">
        <v>24</v>
      </c>
      <c r="C68" s="8" t="s">
        <v>12</v>
      </c>
    </row>
    <row r="69" spans="2:3" x14ac:dyDescent="0.3">
      <c r="B69" s="8" t="s">
        <v>24</v>
      </c>
      <c r="C69" s="8" t="s">
        <v>12</v>
      </c>
    </row>
    <row r="70" spans="2:3" x14ac:dyDescent="0.3">
      <c r="B70" s="8" t="s">
        <v>26</v>
      </c>
      <c r="C70" s="8" t="s">
        <v>13</v>
      </c>
    </row>
    <row r="71" spans="2:3" x14ac:dyDescent="0.3">
      <c r="B71" s="8" t="s">
        <v>26</v>
      </c>
      <c r="C71" s="8" t="s">
        <v>13</v>
      </c>
    </row>
    <row r="72" spans="2:3" x14ac:dyDescent="0.3">
      <c r="B72" s="8" t="s">
        <v>26</v>
      </c>
      <c r="C72" s="8" t="s">
        <v>12</v>
      </c>
    </row>
    <row r="73" spans="2:3" x14ac:dyDescent="0.3">
      <c r="B73" s="8" t="s">
        <v>24</v>
      </c>
      <c r="C73" s="8" t="s">
        <v>13</v>
      </c>
    </row>
    <row r="74" spans="2:3" x14ac:dyDescent="0.3">
      <c r="B74" s="8" t="s">
        <v>26</v>
      </c>
      <c r="C74" s="8" t="s">
        <v>12</v>
      </c>
    </row>
    <row r="75" spans="2:3" x14ac:dyDescent="0.3">
      <c r="B75" s="8" t="s">
        <v>24</v>
      </c>
      <c r="C75" s="8" t="s">
        <v>13</v>
      </c>
    </row>
    <row r="76" spans="2:3" x14ac:dyDescent="0.3">
      <c r="B76" s="8" t="s">
        <v>26</v>
      </c>
      <c r="C76" s="8" t="s">
        <v>12</v>
      </c>
    </row>
    <row r="77" spans="2:3" x14ac:dyDescent="0.3">
      <c r="B77" s="8" t="s">
        <v>26</v>
      </c>
      <c r="C77" s="8" t="s">
        <v>13</v>
      </c>
    </row>
    <row r="78" spans="2:3" x14ac:dyDescent="0.3">
      <c r="B78" s="8" t="s">
        <v>24</v>
      </c>
      <c r="C78" s="8" t="s">
        <v>13</v>
      </c>
    </row>
    <row r="79" spans="2:3" x14ac:dyDescent="0.3">
      <c r="B79" s="8" t="s">
        <v>24</v>
      </c>
      <c r="C79" s="8" t="s">
        <v>13</v>
      </c>
    </row>
    <row r="80" spans="2:3" x14ac:dyDescent="0.3">
      <c r="B80" s="8" t="s">
        <v>24</v>
      </c>
      <c r="C80" s="8" t="s">
        <v>12</v>
      </c>
    </row>
    <row r="81" spans="2:3" x14ac:dyDescent="0.3">
      <c r="B81" s="8" t="s">
        <v>24</v>
      </c>
      <c r="C81" s="8" t="s">
        <v>13</v>
      </c>
    </row>
    <row r="82" spans="2:3" x14ac:dyDescent="0.3">
      <c r="B82" s="8" t="s">
        <v>24</v>
      </c>
      <c r="C82" s="8" t="s">
        <v>13</v>
      </c>
    </row>
    <row r="83" spans="2:3" x14ac:dyDescent="0.3">
      <c r="B83" s="8" t="s">
        <v>24</v>
      </c>
      <c r="C83" s="8" t="s">
        <v>12</v>
      </c>
    </row>
    <row r="84" spans="2:3" x14ac:dyDescent="0.3">
      <c r="B84" s="8" t="s">
        <v>24</v>
      </c>
      <c r="C84" s="8" t="s">
        <v>12</v>
      </c>
    </row>
    <row r="85" spans="2:3" x14ac:dyDescent="0.3">
      <c r="B85" s="8" t="s">
        <v>24</v>
      </c>
      <c r="C85" s="8" t="s">
        <v>13</v>
      </c>
    </row>
    <row r="86" spans="2:3" x14ac:dyDescent="0.3">
      <c r="B86" s="8" t="s">
        <v>24</v>
      </c>
      <c r="C86" s="8" t="s">
        <v>13</v>
      </c>
    </row>
    <row r="87" spans="2:3" x14ac:dyDescent="0.3">
      <c r="B87" s="8" t="s">
        <v>24</v>
      </c>
      <c r="C87" s="8" t="s">
        <v>12</v>
      </c>
    </row>
    <row r="88" spans="2:3" x14ac:dyDescent="0.3">
      <c r="B88" s="8" t="s">
        <v>24</v>
      </c>
      <c r="C88" s="8" t="s">
        <v>13</v>
      </c>
    </row>
    <row r="89" spans="2:3" x14ac:dyDescent="0.3">
      <c r="B89" s="8" t="s">
        <v>24</v>
      </c>
      <c r="C89" s="8" t="s">
        <v>12</v>
      </c>
    </row>
    <row r="90" spans="2:3" x14ac:dyDescent="0.3">
      <c r="B90" s="8" t="s">
        <v>26</v>
      </c>
      <c r="C90" s="8" t="s">
        <v>12</v>
      </c>
    </row>
    <row r="91" spans="2:3" x14ac:dyDescent="0.3">
      <c r="B91" s="8" t="s">
        <v>26</v>
      </c>
      <c r="C91" s="8" t="s">
        <v>12</v>
      </c>
    </row>
    <row r="92" spans="2:3" x14ac:dyDescent="0.3">
      <c r="B92" s="8" t="s">
        <v>24</v>
      </c>
      <c r="C92" s="8" t="s">
        <v>12</v>
      </c>
    </row>
    <row r="93" spans="2:3" x14ac:dyDescent="0.3">
      <c r="B93" s="8" t="s">
        <v>24</v>
      </c>
      <c r="C93" s="8" t="s">
        <v>13</v>
      </c>
    </row>
    <row r="94" spans="2:3" x14ac:dyDescent="0.3">
      <c r="B94" s="8" t="s">
        <v>24</v>
      </c>
      <c r="C94" s="8" t="s">
        <v>12</v>
      </c>
    </row>
    <row r="95" spans="2:3" x14ac:dyDescent="0.3">
      <c r="B95" s="8" t="s">
        <v>24</v>
      </c>
      <c r="C95" s="8" t="s">
        <v>13</v>
      </c>
    </row>
    <row r="96" spans="2:3" x14ac:dyDescent="0.3">
      <c r="B96" s="8" t="s">
        <v>24</v>
      </c>
      <c r="C96" s="8" t="s">
        <v>12</v>
      </c>
    </row>
    <row r="97" spans="2:3" x14ac:dyDescent="0.3">
      <c r="B97" s="8" t="s">
        <v>24</v>
      </c>
      <c r="C97" s="8" t="s">
        <v>12</v>
      </c>
    </row>
    <row r="98" spans="2:3" x14ac:dyDescent="0.3">
      <c r="B98" s="8" t="s">
        <v>24</v>
      </c>
      <c r="C98" s="8" t="s">
        <v>13</v>
      </c>
    </row>
    <row r="99" spans="2:3" x14ac:dyDescent="0.3">
      <c r="B99" s="8" t="s">
        <v>24</v>
      </c>
      <c r="C99" s="8" t="s">
        <v>12</v>
      </c>
    </row>
    <row r="100" spans="2:3" x14ac:dyDescent="0.3">
      <c r="B100" s="8" t="s">
        <v>24</v>
      </c>
      <c r="C100" s="8" t="s">
        <v>13</v>
      </c>
    </row>
  </sheetData>
  <mergeCells count="5">
    <mergeCell ref="E5:G5"/>
    <mergeCell ref="I5:J5"/>
    <mergeCell ref="L5:M5"/>
    <mergeCell ref="O5:P5"/>
    <mergeCell ref="E11:G1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1FC3-0CC9-4766-81BC-3731414E5E21}">
  <sheetPr>
    <tabColor theme="7" tint="0.79998168889431442"/>
  </sheetPr>
  <dimension ref="B1:R100"/>
  <sheetViews>
    <sheetView showGridLines="0" topLeftCell="C1" workbookViewId="0">
      <selection activeCell="R12" sqref="R12"/>
    </sheetView>
  </sheetViews>
  <sheetFormatPr defaultRowHeight="14.4" x14ac:dyDescent="0.3"/>
  <cols>
    <col min="1" max="1" width="2.88671875" customWidth="1"/>
    <col min="2" max="2" width="19.33203125" bestFit="1" customWidth="1"/>
    <col min="4" max="4" width="6.5546875" customWidth="1"/>
    <col min="5" max="6" width="2.88671875" customWidth="1"/>
    <col min="7" max="7" width="9.109375" customWidth="1"/>
    <col min="9" max="9" width="11.44140625" customWidth="1"/>
    <col min="12" max="12" width="12.109375" customWidth="1"/>
    <col min="13" max="13" width="11.44140625" customWidth="1"/>
    <col min="15" max="15" width="15.6640625" bestFit="1" customWidth="1"/>
    <col min="18" max="18" width="57.109375" customWidth="1"/>
  </cols>
  <sheetData>
    <row r="1" spans="2:18" ht="25.5" customHeight="1" x14ac:dyDescent="0.35">
      <c r="B1" s="17" t="s">
        <v>187</v>
      </c>
    </row>
    <row r="2" spans="2:18" ht="15" customHeight="1" x14ac:dyDescent="0.3">
      <c r="B2" s="27" t="s">
        <v>274</v>
      </c>
    </row>
    <row r="3" spans="2:18" ht="18" customHeight="1" x14ac:dyDescent="0.3"/>
    <row r="4" spans="2:18" x14ac:dyDescent="0.3">
      <c r="D4" s="3"/>
      <c r="L4" s="3"/>
      <c r="O4" s="3"/>
    </row>
    <row r="5" spans="2:18" x14ac:dyDescent="0.3">
      <c r="B5" s="7" t="s">
        <v>22</v>
      </c>
      <c r="D5" s="110" t="s">
        <v>181</v>
      </c>
      <c r="E5" s="110"/>
      <c r="F5" s="110"/>
      <c r="G5" s="110"/>
      <c r="I5" s="110" t="s">
        <v>183</v>
      </c>
      <c r="J5" s="110"/>
      <c r="L5" s="108" t="s">
        <v>128</v>
      </c>
      <c r="M5" s="108"/>
      <c r="O5" s="108" t="s">
        <v>186</v>
      </c>
      <c r="P5" s="108"/>
      <c r="R5" s="45"/>
    </row>
    <row r="6" spans="2:18" x14ac:dyDescent="0.3">
      <c r="B6" s="8">
        <v>276</v>
      </c>
      <c r="D6" s="19" t="s">
        <v>177</v>
      </c>
      <c r="E6" s="83" t="s">
        <v>179</v>
      </c>
      <c r="F6" s="83" t="s">
        <v>180</v>
      </c>
      <c r="G6" s="84">
        <v>300</v>
      </c>
      <c r="I6" s="19" t="s">
        <v>132</v>
      </c>
      <c r="J6" s="65">
        <v>0.1</v>
      </c>
      <c r="L6" s="19" t="s">
        <v>63</v>
      </c>
      <c r="M6" s="65">
        <f>COUNT(B6:B100)</f>
        <v>95</v>
      </c>
      <c r="O6" s="19" t="s">
        <v>135</v>
      </c>
      <c r="P6" s="69">
        <f>M8/SQRT(M6)</f>
        <v>9.5950571497434378</v>
      </c>
      <c r="R6" s="111" t="s">
        <v>315</v>
      </c>
    </row>
    <row r="7" spans="2:18" x14ac:dyDescent="0.3">
      <c r="B7" s="8">
        <v>410</v>
      </c>
      <c r="D7" s="19" t="s">
        <v>178</v>
      </c>
      <c r="E7" s="83" t="s">
        <v>179</v>
      </c>
      <c r="F7" s="83" t="s">
        <v>182</v>
      </c>
      <c r="G7" s="84">
        <v>300</v>
      </c>
      <c r="I7" s="19"/>
      <c r="J7" s="1"/>
      <c r="L7" s="19" t="s">
        <v>41</v>
      </c>
      <c r="M7" s="66">
        <f>AVERAGE(B6:B100)</f>
        <v>289.34736842105264</v>
      </c>
      <c r="O7" s="19" t="s">
        <v>184</v>
      </c>
      <c r="P7" s="85">
        <f>(M7-G6)/P6</f>
        <v>-1.1102207535295614</v>
      </c>
      <c r="R7" s="111"/>
    </row>
    <row r="8" spans="2:18" x14ac:dyDescent="0.3">
      <c r="B8" s="8">
        <v>119</v>
      </c>
      <c r="D8" s="19"/>
      <c r="E8" s="32"/>
      <c r="F8" s="32"/>
      <c r="G8" s="32"/>
      <c r="L8" s="19" t="s">
        <v>62</v>
      </c>
      <c r="M8" s="69">
        <f>_xlfn.STDEV.S(B6:B100)</f>
        <v>93.521048765238149</v>
      </c>
      <c r="O8" s="19" t="s">
        <v>189</v>
      </c>
      <c r="P8" s="64">
        <f>_xlfn.T.DIST(P7,M6-1,TRUE)*2</f>
        <v>0.26973589884432797</v>
      </c>
      <c r="R8" s="111"/>
    </row>
    <row r="9" spans="2:18" x14ac:dyDescent="0.3">
      <c r="B9" s="8">
        <v>334</v>
      </c>
      <c r="D9" s="19"/>
      <c r="E9" s="33"/>
      <c r="F9" s="33"/>
      <c r="G9" s="33"/>
      <c r="R9" s="111"/>
    </row>
    <row r="10" spans="2:18" x14ac:dyDescent="0.3">
      <c r="B10" s="8">
        <v>252</v>
      </c>
      <c r="D10" s="19"/>
      <c r="E10" s="20"/>
      <c r="F10" s="20"/>
      <c r="G10" s="20"/>
      <c r="R10" s="111"/>
    </row>
    <row r="11" spans="2:18" x14ac:dyDescent="0.3">
      <c r="B11" s="8">
        <v>209</v>
      </c>
      <c r="D11" s="19"/>
      <c r="E11" s="20"/>
      <c r="F11" s="20"/>
      <c r="G11" s="20"/>
      <c r="R11" s="111"/>
    </row>
    <row r="12" spans="2:18" x14ac:dyDescent="0.3">
      <c r="B12" s="8">
        <v>462</v>
      </c>
    </row>
    <row r="13" spans="2:18" x14ac:dyDescent="0.3">
      <c r="B13" s="8">
        <v>342</v>
      </c>
    </row>
    <row r="14" spans="2:18" x14ac:dyDescent="0.3">
      <c r="B14" s="8">
        <v>347</v>
      </c>
    </row>
    <row r="15" spans="2:18" x14ac:dyDescent="0.3">
      <c r="B15" s="8">
        <v>313</v>
      </c>
    </row>
    <row r="16" spans="2:18" x14ac:dyDescent="0.3">
      <c r="B16" s="8">
        <v>232</v>
      </c>
    </row>
    <row r="17" spans="2:2" x14ac:dyDescent="0.3">
      <c r="B17" s="8">
        <v>163</v>
      </c>
    </row>
    <row r="18" spans="2:2" x14ac:dyDescent="0.3">
      <c r="B18" s="8">
        <v>119</v>
      </c>
    </row>
    <row r="19" spans="2:2" x14ac:dyDescent="0.3">
      <c r="B19" s="8">
        <v>304</v>
      </c>
    </row>
    <row r="20" spans="2:2" x14ac:dyDescent="0.3">
      <c r="B20" s="8">
        <v>211</v>
      </c>
    </row>
    <row r="21" spans="2:2" x14ac:dyDescent="0.3">
      <c r="B21" s="8">
        <v>286</v>
      </c>
    </row>
    <row r="22" spans="2:2" x14ac:dyDescent="0.3">
      <c r="B22" s="8">
        <v>122</v>
      </c>
    </row>
    <row r="23" spans="2:2" x14ac:dyDescent="0.3">
      <c r="B23" s="8">
        <v>443</v>
      </c>
    </row>
    <row r="24" spans="2:2" x14ac:dyDescent="0.3">
      <c r="B24" s="8">
        <v>366</v>
      </c>
    </row>
    <row r="25" spans="2:2" x14ac:dyDescent="0.3">
      <c r="B25" s="8">
        <v>244</v>
      </c>
    </row>
    <row r="26" spans="2:2" x14ac:dyDescent="0.3">
      <c r="B26" s="8">
        <v>241</v>
      </c>
    </row>
    <row r="27" spans="2:2" x14ac:dyDescent="0.3">
      <c r="B27" s="8">
        <v>237</v>
      </c>
    </row>
    <row r="28" spans="2:2" x14ac:dyDescent="0.3">
      <c r="B28" s="8">
        <v>122</v>
      </c>
    </row>
    <row r="29" spans="2:2" x14ac:dyDescent="0.3">
      <c r="B29" s="8">
        <v>129</v>
      </c>
    </row>
    <row r="30" spans="2:2" x14ac:dyDescent="0.3">
      <c r="B30" s="8">
        <v>236</v>
      </c>
    </row>
    <row r="31" spans="2:2" x14ac:dyDescent="0.3">
      <c r="B31" s="8">
        <v>251</v>
      </c>
    </row>
    <row r="32" spans="2:2" x14ac:dyDescent="0.3">
      <c r="B32" s="8">
        <v>283</v>
      </c>
    </row>
    <row r="33" spans="2:2" x14ac:dyDescent="0.3">
      <c r="B33" s="8">
        <v>225</v>
      </c>
    </row>
    <row r="34" spans="2:2" x14ac:dyDescent="0.3">
      <c r="B34" s="8">
        <v>102</v>
      </c>
    </row>
    <row r="35" spans="2:2" x14ac:dyDescent="0.3">
      <c r="B35" s="8">
        <v>180</v>
      </c>
    </row>
    <row r="36" spans="2:2" x14ac:dyDescent="0.3">
      <c r="B36" s="8">
        <v>247</v>
      </c>
    </row>
    <row r="37" spans="2:2" x14ac:dyDescent="0.3">
      <c r="B37" s="8">
        <v>343</v>
      </c>
    </row>
    <row r="38" spans="2:2" x14ac:dyDescent="0.3">
      <c r="B38" s="8">
        <v>283</v>
      </c>
    </row>
    <row r="39" spans="2:2" x14ac:dyDescent="0.3">
      <c r="B39" s="8">
        <v>253</v>
      </c>
    </row>
    <row r="40" spans="2:2" x14ac:dyDescent="0.3">
      <c r="B40" s="8">
        <v>263</v>
      </c>
    </row>
    <row r="41" spans="2:2" x14ac:dyDescent="0.3">
      <c r="B41" s="8">
        <v>291</v>
      </c>
    </row>
    <row r="42" spans="2:2" x14ac:dyDescent="0.3">
      <c r="B42" s="8">
        <v>368</v>
      </c>
    </row>
    <row r="43" spans="2:2" x14ac:dyDescent="0.3">
      <c r="B43" s="8">
        <v>206</v>
      </c>
    </row>
    <row r="44" spans="2:2" x14ac:dyDescent="0.3">
      <c r="B44" s="8">
        <v>231</v>
      </c>
    </row>
    <row r="45" spans="2:2" x14ac:dyDescent="0.3">
      <c r="B45" s="8">
        <v>389</v>
      </c>
    </row>
    <row r="46" spans="2:2" x14ac:dyDescent="0.3">
      <c r="B46" s="8">
        <v>396</v>
      </c>
    </row>
    <row r="47" spans="2:2" x14ac:dyDescent="0.3">
      <c r="B47" s="8">
        <v>339</v>
      </c>
    </row>
    <row r="48" spans="2:2" x14ac:dyDescent="0.3">
      <c r="B48" s="8">
        <v>286</v>
      </c>
    </row>
    <row r="49" spans="2:2" x14ac:dyDescent="0.3">
      <c r="B49" s="8">
        <v>146</v>
      </c>
    </row>
    <row r="50" spans="2:2" x14ac:dyDescent="0.3">
      <c r="B50" s="8">
        <v>315</v>
      </c>
    </row>
    <row r="51" spans="2:2" x14ac:dyDescent="0.3">
      <c r="B51" s="8">
        <v>183</v>
      </c>
    </row>
    <row r="52" spans="2:2" x14ac:dyDescent="0.3">
      <c r="B52" s="8">
        <v>481</v>
      </c>
    </row>
    <row r="53" spans="2:2" x14ac:dyDescent="0.3">
      <c r="B53" s="8">
        <v>349</v>
      </c>
    </row>
    <row r="54" spans="2:2" x14ac:dyDescent="0.3">
      <c r="B54" s="8">
        <v>225</v>
      </c>
    </row>
    <row r="55" spans="2:2" x14ac:dyDescent="0.3">
      <c r="B55" s="8">
        <v>217</v>
      </c>
    </row>
    <row r="56" spans="2:2" x14ac:dyDescent="0.3">
      <c r="B56" s="8">
        <v>353</v>
      </c>
    </row>
    <row r="57" spans="2:2" x14ac:dyDescent="0.3">
      <c r="B57" s="8">
        <v>314</v>
      </c>
    </row>
    <row r="58" spans="2:2" x14ac:dyDescent="0.3">
      <c r="B58" s="8">
        <v>247</v>
      </c>
    </row>
    <row r="59" spans="2:2" x14ac:dyDescent="0.3">
      <c r="B59" s="8">
        <v>410</v>
      </c>
    </row>
    <row r="60" spans="2:2" x14ac:dyDescent="0.3">
      <c r="B60" s="8">
        <v>395</v>
      </c>
    </row>
    <row r="61" spans="2:2" x14ac:dyDescent="0.3">
      <c r="B61" s="8">
        <v>416</v>
      </c>
    </row>
    <row r="62" spans="2:2" x14ac:dyDescent="0.3">
      <c r="B62" s="8">
        <v>342</v>
      </c>
    </row>
    <row r="63" spans="2:2" x14ac:dyDescent="0.3">
      <c r="B63" s="8">
        <v>446</v>
      </c>
    </row>
    <row r="64" spans="2:2" x14ac:dyDescent="0.3">
      <c r="B64" s="8">
        <v>477</v>
      </c>
    </row>
    <row r="65" spans="2:2" x14ac:dyDescent="0.3">
      <c r="B65" s="8">
        <v>444</v>
      </c>
    </row>
    <row r="66" spans="2:2" x14ac:dyDescent="0.3">
      <c r="B66" s="8">
        <v>351</v>
      </c>
    </row>
    <row r="67" spans="2:2" x14ac:dyDescent="0.3">
      <c r="B67" s="8">
        <v>165</v>
      </c>
    </row>
    <row r="68" spans="2:2" x14ac:dyDescent="0.3">
      <c r="B68" s="8">
        <v>317</v>
      </c>
    </row>
    <row r="69" spans="2:2" x14ac:dyDescent="0.3">
      <c r="B69" s="8">
        <v>250</v>
      </c>
    </row>
    <row r="70" spans="2:2" x14ac:dyDescent="0.3">
      <c r="B70" s="8">
        <v>217</v>
      </c>
    </row>
    <row r="71" spans="2:2" x14ac:dyDescent="0.3">
      <c r="B71" s="8">
        <v>138</v>
      </c>
    </row>
    <row r="72" spans="2:2" x14ac:dyDescent="0.3">
      <c r="B72" s="8">
        <v>302</v>
      </c>
    </row>
    <row r="73" spans="2:2" x14ac:dyDescent="0.3">
      <c r="B73" s="8">
        <v>311</v>
      </c>
    </row>
    <row r="74" spans="2:2" x14ac:dyDescent="0.3">
      <c r="B74" s="8">
        <v>373</v>
      </c>
    </row>
    <row r="75" spans="2:2" x14ac:dyDescent="0.3">
      <c r="B75" s="8">
        <v>196</v>
      </c>
    </row>
    <row r="76" spans="2:2" x14ac:dyDescent="0.3">
      <c r="B76" s="8">
        <v>306</v>
      </c>
    </row>
    <row r="77" spans="2:2" x14ac:dyDescent="0.3">
      <c r="B77" s="8">
        <v>302</v>
      </c>
    </row>
    <row r="78" spans="2:2" x14ac:dyDescent="0.3">
      <c r="B78" s="8">
        <v>278</v>
      </c>
    </row>
    <row r="79" spans="2:2" x14ac:dyDescent="0.3">
      <c r="B79" s="8">
        <v>429</v>
      </c>
    </row>
    <row r="80" spans="2:2" x14ac:dyDescent="0.3">
      <c r="B80" s="8">
        <v>338</v>
      </c>
    </row>
    <row r="81" spans="2:2" x14ac:dyDescent="0.3">
      <c r="B81" s="8">
        <v>261</v>
      </c>
    </row>
    <row r="82" spans="2:2" x14ac:dyDescent="0.3">
      <c r="B82" s="8">
        <v>256</v>
      </c>
    </row>
    <row r="83" spans="2:2" x14ac:dyDescent="0.3">
      <c r="B83" s="8">
        <v>183</v>
      </c>
    </row>
    <row r="84" spans="2:2" x14ac:dyDescent="0.3">
      <c r="B84" s="8">
        <v>274</v>
      </c>
    </row>
    <row r="85" spans="2:2" x14ac:dyDescent="0.3">
      <c r="B85" s="8">
        <v>182</v>
      </c>
    </row>
    <row r="86" spans="2:2" x14ac:dyDescent="0.3">
      <c r="B86" s="8">
        <v>183</v>
      </c>
    </row>
    <row r="87" spans="2:2" x14ac:dyDescent="0.3">
      <c r="B87" s="8">
        <v>309</v>
      </c>
    </row>
    <row r="88" spans="2:2" x14ac:dyDescent="0.3">
      <c r="B88" s="8">
        <v>178</v>
      </c>
    </row>
    <row r="89" spans="2:2" x14ac:dyDescent="0.3">
      <c r="B89" s="8">
        <v>458</v>
      </c>
    </row>
    <row r="90" spans="2:2" x14ac:dyDescent="0.3">
      <c r="B90" s="8">
        <v>234</v>
      </c>
    </row>
    <row r="91" spans="2:2" x14ac:dyDescent="0.3">
      <c r="B91" s="8">
        <v>306</v>
      </c>
    </row>
    <row r="92" spans="2:2" x14ac:dyDescent="0.3">
      <c r="B92" s="8">
        <v>400</v>
      </c>
    </row>
    <row r="93" spans="2:2" x14ac:dyDescent="0.3">
      <c r="B93" s="8">
        <v>337</v>
      </c>
    </row>
    <row r="94" spans="2:2" x14ac:dyDescent="0.3">
      <c r="B94" s="8">
        <v>325</v>
      </c>
    </row>
    <row r="95" spans="2:2" x14ac:dyDescent="0.3">
      <c r="B95" s="8">
        <v>329</v>
      </c>
    </row>
    <row r="96" spans="2:2" x14ac:dyDescent="0.3">
      <c r="B96" s="8">
        <v>369</v>
      </c>
    </row>
    <row r="97" spans="2:2" x14ac:dyDescent="0.3">
      <c r="B97" s="8">
        <v>457</v>
      </c>
    </row>
    <row r="98" spans="2:2" x14ac:dyDescent="0.3">
      <c r="B98" s="8">
        <v>421</v>
      </c>
    </row>
    <row r="99" spans="2:2" x14ac:dyDescent="0.3">
      <c r="B99" s="8">
        <v>282</v>
      </c>
    </row>
    <row r="100" spans="2:2" x14ac:dyDescent="0.3">
      <c r="B100" s="8">
        <v>256</v>
      </c>
    </row>
  </sheetData>
  <mergeCells count="5">
    <mergeCell ref="D5:G5"/>
    <mergeCell ref="I5:J5"/>
    <mergeCell ref="L5:M5"/>
    <mergeCell ref="O5:P5"/>
    <mergeCell ref="R6:R11"/>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A3D78-7BE7-4019-9751-28F22D5586EB}">
  <sheetPr codeName="Sheet42">
    <tabColor theme="7" tint="0.59999389629810485"/>
  </sheetPr>
  <dimension ref="B1:R100"/>
  <sheetViews>
    <sheetView showGridLines="0" workbookViewId="0">
      <selection activeCell="P9" sqref="P9"/>
    </sheetView>
  </sheetViews>
  <sheetFormatPr defaultRowHeight="14.4" x14ac:dyDescent="0.3"/>
  <cols>
    <col min="1" max="1" width="2.88671875" customWidth="1"/>
    <col min="2" max="2" width="12.88671875" customWidth="1"/>
    <col min="4" max="4" width="6.5546875" customWidth="1"/>
    <col min="5" max="6" width="2.88671875" customWidth="1"/>
    <col min="9" max="9" width="11.44140625" customWidth="1"/>
    <col min="12" max="12" width="12.109375" customWidth="1"/>
    <col min="13" max="13" width="11.44140625" customWidth="1"/>
    <col min="15" max="15" width="15.6640625" bestFit="1" customWidth="1"/>
    <col min="18" max="18" width="57.109375" customWidth="1"/>
  </cols>
  <sheetData>
    <row r="1" spans="2:18" ht="25.5" customHeight="1" x14ac:dyDescent="0.35">
      <c r="B1" s="17" t="s">
        <v>275</v>
      </c>
    </row>
    <row r="2" spans="2:18" ht="15" customHeight="1" x14ac:dyDescent="0.3">
      <c r="B2" s="27" t="s">
        <v>188</v>
      </c>
    </row>
    <row r="3" spans="2:18" ht="18" customHeight="1" x14ac:dyDescent="0.3"/>
    <row r="4" spans="2:18" x14ac:dyDescent="0.3">
      <c r="D4" s="3"/>
      <c r="L4" s="3"/>
      <c r="O4" s="3" t="s">
        <v>316</v>
      </c>
    </row>
    <row r="5" spans="2:18" x14ac:dyDescent="0.3">
      <c r="B5" s="7" t="s">
        <v>69</v>
      </c>
      <c r="D5" s="110" t="s">
        <v>181</v>
      </c>
      <c r="E5" s="110"/>
      <c r="F5" s="110"/>
      <c r="G5" s="110"/>
      <c r="I5" s="110" t="s">
        <v>183</v>
      </c>
      <c r="J5" s="110"/>
      <c r="L5" s="108" t="s">
        <v>128</v>
      </c>
      <c r="M5" s="108"/>
      <c r="O5" s="108" t="s">
        <v>186</v>
      </c>
      <c r="P5" s="108"/>
      <c r="R5" s="45" t="s">
        <v>185</v>
      </c>
    </row>
    <row r="6" spans="2:18" x14ac:dyDescent="0.3">
      <c r="B6" s="8">
        <v>90.2</v>
      </c>
      <c r="D6" s="19" t="s">
        <v>177</v>
      </c>
      <c r="E6" s="83" t="s">
        <v>179</v>
      </c>
      <c r="F6" s="83" t="s">
        <v>180</v>
      </c>
      <c r="G6" s="84">
        <v>80</v>
      </c>
      <c r="I6" s="19" t="s">
        <v>132</v>
      </c>
      <c r="J6" s="65">
        <v>0.2</v>
      </c>
      <c r="L6" s="19" t="s">
        <v>63</v>
      </c>
      <c r="M6" s="65">
        <f>COUNT(B6:B100)</f>
        <v>95</v>
      </c>
      <c r="O6" s="19" t="s">
        <v>135</v>
      </c>
      <c r="P6" s="69">
        <f>M8/SQRT(M6)</f>
        <v>0.63310867376603175</v>
      </c>
      <c r="R6" s="112"/>
    </row>
    <row r="7" spans="2:18" x14ac:dyDescent="0.3">
      <c r="B7" s="8">
        <v>92.8</v>
      </c>
      <c r="D7" s="19" t="s">
        <v>178</v>
      </c>
      <c r="E7" s="83" t="s">
        <v>179</v>
      </c>
      <c r="F7" s="83" t="s">
        <v>182</v>
      </c>
      <c r="G7" s="84">
        <v>80</v>
      </c>
      <c r="I7" s="19"/>
      <c r="J7" s="1"/>
      <c r="L7" s="19" t="s">
        <v>41</v>
      </c>
      <c r="M7" s="66">
        <f>AVERAGE(B6:B100)</f>
        <v>80.169473684210516</v>
      </c>
      <c r="O7" s="19" t="s">
        <v>184</v>
      </c>
      <c r="P7" s="85">
        <f>(M7-G6)/P6</f>
        <v>0.26768498242553784</v>
      </c>
      <c r="R7" s="112"/>
    </row>
    <row r="8" spans="2:18" x14ac:dyDescent="0.3">
      <c r="B8" s="8">
        <v>68.7</v>
      </c>
      <c r="D8" s="19"/>
      <c r="E8" s="32"/>
      <c r="F8" s="32"/>
      <c r="G8" s="32"/>
      <c r="L8" s="19" t="s">
        <v>62</v>
      </c>
      <c r="M8" s="69">
        <f>_xlfn.STDEV.S(B6:B100)</f>
        <v>6.1707800411122609</v>
      </c>
      <c r="O8" s="19" t="s">
        <v>189</v>
      </c>
      <c r="P8" s="64">
        <f>(1-_xlfn.T.DIST(P7,M6-1,TRUE))*2</f>
        <v>0.78952829198210606</v>
      </c>
      <c r="R8" s="112"/>
    </row>
    <row r="9" spans="2:18" x14ac:dyDescent="0.3">
      <c r="B9" s="8">
        <v>80.7</v>
      </c>
      <c r="D9" s="19"/>
      <c r="E9" s="33"/>
      <c r="F9" s="33"/>
      <c r="G9" s="33"/>
      <c r="R9" s="112"/>
    </row>
    <row r="10" spans="2:18" x14ac:dyDescent="0.3">
      <c r="B10" s="8">
        <v>74.900000000000006</v>
      </c>
      <c r="D10" s="19"/>
      <c r="E10" s="20"/>
      <c r="F10" s="20"/>
      <c r="G10" s="20"/>
      <c r="R10" s="112"/>
    </row>
    <row r="11" spans="2:18" x14ac:dyDescent="0.3">
      <c r="B11" s="8">
        <v>80.7</v>
      </c>
      <c r="D11" s="19"/>
      <c r="E11" s="20"/>
      <c r="F11" s="20"/>
      <c r="G11" s="20"/>
      <c r="R11" s="112"/>
    </row>
    <row r="12" spans="2:18" x14ac:dyDescent="0.3">
      <c r="B12" s="8">
        <v>83.3</v>
      </c>
    </row>
    <row r="13" spans="2:18" x14ac:dyDescent="0.3">
      <c r="B13" s="8">
        <v>88.7</v>
      </c>
    </row>
    <row r="14" spans="2:18" x14ac:dyDescent="0.3">
      <c r="B14" s="8">
        <v>75.400000000000006</v>
      </c>
    </row>
    <row r="15" spans="2:18" x14ac:dyDescent="0.3">
      <c r="B15" s="8">
        <v>82.1</v>
      </c>
    </row>
    <row r="16" spans="2:18" x14ac:dyDescent="0.3">
      <c r="B16" s="8">
        <v>87.5</v>
      </c>
    </row>
    <row r="17" spans="2:2" x14ac:dyDescent="0.3">
      <c r="B17" s="8">
        <v>66.900000000000006</v>
      </c>
    </row>
    <row r="18" spans="2:2" x14ac:dyDescent="0.3">
      <c r="B18" s="8">
        <v>71.3</v>
      </c>
    </row>
    <row r="19" spans="2:2" x14ac:dyDescent="0.3">
      <c r="B19" s="8">
        <v>76.8</v>
      </c>
    </row>
    <row r="20" spans="2:2" x14ac:dyDescent="0.3">
      <c r="B20" s="8">
        <v>72.3</v>
      </c>
    </row>
    <row r="21" spans="2:2" x14ac:dyDescent="0.3">
      <c r="B21" s="8">
        <v>72.400000000000006</v>
      </c>
    </row>
    <row r="22" spans="2:2" x14ac:dyDescent="0.3">
      <c r="B22" s="8">
        <v>72</v>
      </c>
    </row>
    <row r="23" spans="2:2" x14ac:dyDescent="0.3">
      <c r="B23" s="8">
        <v>81</v>
      </c>
    </row>
    <row r="24" spans="2:2" x14ac:dyDescent="0.3">
      <c r="B24" s="8">
        <v>96.1</v>
      </c>
    </row>
    <row r="25" spans="2:2" x14ac:dyDescent="0.3">
      <c r="B25" s="8">
        <v>76.7</v>
      </c>
    </row>
    <row r="26" spans="2:2" x14ac:dyDescent="0.3">
      <c r="B26" s="8">
        <v>80.3</v>
      </c>
    </row>
    <row r="27" spans="2:2" x14ac:dyDescent="0.3">
      <c r="B27" s="8">
        <v>77.8</v>
      </c>
    </row>
    <row r="28" spans="2:2" x14ac:dyDescent="0.3">
      <c r="B28" s="8">
        <v>62.6</v>
      </c>
    </row>
    <row r="29" spans="2:2" x14ac:dyDescent="0.3">
      <c r="B29" s="8">
        <v>80.2</v>
      </c>
    </row>
    <row r="30" spans="2:2" x14ac:dyDescent="0.3">
      <c r="B30" s="8">
        <v>79.099999999999994</v>
      </c>
    </row>
    <row r="31" spans="2:2" x14ac:dyDescent="0.3">
      <c r="B31" s="8">
        <v>77.8</v>
      </c>
    </row>
    <row r="32" spans="2:2" x14ac:dyDescent="0.3">
      <c r="B32" s="8">
        <v>75.099999999999994</v>
      </c>
    </row>
    <row r="33" spans="2:2" x14ac:dyDescent="0.3">
      <c r="B33" s="8">
        <v>82.2</v>
      </c>
    </row>
    <row r="34" spans="2:2" x14ac:dyDescent="0.3">
      <c r="B34" s="8">
        <v>70.5</v>
      </c>
    </row>
    <row r="35" spans="2:2" x14ac:dyDescent="0.3">
      <c r="B35" s="8">
        <v>70.8</v>
      </c>
    </row>
    <row r="36" spans="2:2" x14ac:dyDescent="0.3">
      <c r="B36" s="8">
        <v>87.5</v>
      </c>
    </row>
    <row r="37" spans="2:2" x14ac:dyDescent="0.3">
      <c r="B37" s="8">
        <v>79.5</v>
      </c>
    </row>
    <row r="38" spans="2:2" x14ac:dyDescent="0.3">
      <c r="B38" s="8">
        <v>80.8</v>
      </c>
    </row>
    <row r="39" spans="2:2" x14ac:dyDescent="0.3">
      <c r="B39" s="8">
        <v>79.599999999999994</v>
      </c>
    </row>
    <row r="40" spans="2:2" x14ac:dyDescent="0.3">
      <c r="B40" s="8">
        <v>88.9</v>
      </c>
    </row>
    <row r="41" spans="2:2" x14ac:dyDescent="0.3">
      <c r="B41" s="8">
        <v>85.9</v>
      </c>
    </row>
    <row r="42" spans="2:2" x14ac:dyDescent="0.3">
      <c r="B42" s="8">
        <v>82.3</v>
      </c>
    </row>
    <row r="43" spans="2:2" x14ac:dyDescent="0.3">
      <c r="B43" s="8">
        <v>76.7</v>
      </c>
    </row>
    <row r="44" spans="2:2" x14ac:dyDescent="0.3">
      <c r="B44" s="8">
        <v>79.900000000000006</v>
      </c>
    </row>
    <row r="45" spans="2:2" x14ac:dyDescent="0.3">
      <c r="B45" s="8">
        <v>86.2</v>
      </c>
    </row>
    <row r="46" spans="2:2" x14ac:dyDescent="0.3">
      <c r="B46" s="8">
        <v>79.2</v>
      </c>
    </row>
    <row r="47" spans="2:2" x14ac:dyDescent="0.3">
      <c r="B47" s="8">
        <v>83.4</v>
      </c>
    </row>
    <row r="48" spans="2:2" x14ac:dyDescent="0.3">
      <c r="B48" s="8">
        <v>85.2</v>
      </c>
    </row>
    <row r="49" spans="2:2" x14ac:dyDescent="0.3">
      <c r="B49" s="8">
        <v>77.8</v>
      </c>
    </row>
    <row r="50" spans="2:2" x14ac:dyDescent="0.3">
      <c r="B50" s="8">
        <v>80.2</v>
      </c>
    </row>
    <row r="51" spans="2:2" x14ac:dyDescent="0.3">
      <c r="B51" s="8">
        <v>71</v>
      </c>
    </row>
    <row r="52" spans="2:2" x14ac:dyDescent="0.3">
      <c r="B52" s="8">
        <v>87.2</v>
      </c>
    </row>
    <row r="53" spans="2:2" x14ac:dyDescent="0.3">
      <c r="B53" s="8">
        <v>82.9</v>
      </c>
    </row>
    <row r="54" spans="2:2" x14ac:dyDescent="0.3">
      <c r="B54" s="8">
        <v>73.5</v>
      </c>
    </row>
    <row r="55" spans="2:2" x14ac:dyDescent="0.3">
      <c r="B55" s="8">
        <v>74.599999999999994</v>
      </c>
    </row>
    <row r="56" spans="2:2" x14ac:dyDescent="0.3">
      <c r="B56" s="8">
        <v>75.099999999999994</v>
      </c>
    </row>
    <row r="57" spans="2:2" x14ac:dyDescent="0.3">
      <c r="B57" s="8">
        <v>85.1</v>
      </c>
    </row>
    <row r="58" spans="2:2" x14ac:dyDescent="0.3">
      <c r="B58" s="8">
        <v>74.900000000000006</v>
      </c>
    </row>
    <row r="59" spans="2:2" x14ac:dyDescent="0.3">
      <c r="B59" s="8">
        <v>84.6</v>
      </c>
    </row>
    <row r="60" spans="2:2" x14ac:dyDescent="0.3">
      <c r="B60" s="8">
        <v>81.7</v>
      </c>
    </row>
    <row r="61" spans="2:2" x14ac:dyDescent="0.3">
      <c r="B61" s="8">
        <v>81.400000000000006</v>
      </c>
    </row>
    <row r="62" spans="2:2" x14ac:dyDescent="0.3">
      <c r="B62" s="8">
        <v>83.8</v>
      </c>
    </row>
    <row r="63" spans="2:2" x14ac:dyDescent="0.3">
      <c r="B63" s="8">
        <v>88.5</v>
      </c>
    </row>
    <row r="64" spans="2:2" x14ac:dyDescent="0.3">
      <c r="B64" s="8">
        <v>84.9</v>
      </c>
    </row>
    <row r="65" spans="2:2" x14ac:dyDescent="0.3">
      <c r="B65" s="8">
        <v>84.3</v>
      </c>
    </row>
    <row r="66" spans="2:2" x14ac:dyDescent="0.3">
      <c r="B66" s="8">
        <v>78.2</v>
      </c>
    </row>
    <row r="67" spans="2:2" x14ac:dyDescent="0.3">
      <c r="B67" s="8">
        <v>80</v>
      </c>
    </row>
    <row r="68" spans="2:2" x14ac:dyDescent="0.3">
      <c r="B68" s="8">
        <v>74.8</v>
      </c>
    </row>
    <row r="69" spans="2:2" x14ac:dyDescent="0.3">
      <c r="B69" s="8">
        <v>78.5</v>
      </c>
    </row>
    <row r="70" spans="2:2" x14ac:dyDescent="0.3">
      <c r="B70" s="8">
        <v>71.8</v>
      </c>
    </row>
    <row r="71" spans="2:2" x14ac:dyDescent="0.3">
      <c r="B71" s="8">
        <v>69.900000000000006</v>
      </c>
    </row>
    <row r="72" spans="2:2" x14ac:dyDescent="0.3">
      <c r="B72" s="8">
        <v>82.7</v>
      </c>
    </row>
    <row r="73" spans="2:2" x14ac:dyDescent="0.3">
      <c r="B73" s="8">
        <v>74</v>
      </c>
    </row>
    <row r="74" spans="2:2" x14ac:dyDescent="0.3">
      <c r="B74" s="8">
        <v>84</v>
      </c>
    </row>
    <row r="75" spans="2:2" x14ac:dyDescent="0.3">
      <c r="B75" s="8">
        <v>84.7</v>
      </c>
    </row>
    <row r="76" spans="2:2" x14ac:dyDescent="0.3">
      <c r="B76" s="8">
        <v>78.2</v>
      </c>
    </row>
    <row r="77" spans="2:2" x14ac:dyDescent="0.3">
      <c r="B77" s="8">
        <v>85</v>
      </c>
    </row>
    <row r="78" spans="2:2" x14ac:dyDescent="0.3">
      <c r="B78" s="8">
        <v>80.099999999999994</v>
      </c>
    </row>
    <row r="79" spans="2:2" x14ac:dyDescent="0.3">
      <c r="B79" s="8">
        <v>85.3</v>
      </c>
    </row>
    <row r="80" spans="2:2" x14ac:dyDescent="0.3">
      <c r="B80" s="8">
        <v>79.7</v>
      </c>
    </row>
    <row r="81" spans="2:2" x14ac:dyDescent="0.3">
      <c r="B81" s="8">
        <v>79.599999999999994</v>
      </c>
    </row>
    <row r="82" spans="2:2" x14ac:dyDescent="0.3">
      <c r="B82" s="8">
        <v>78.900000000000006</v>
      </c>
    </row>
    <row r="83" spans="2:2" x14ac:dyDescent="0.3">
      <c r="B83" s="8">
        <v>78.5</v>
      </c>
    </row>
    <row r="84" spans="2:2" x14ac:dyDescent="0.3">
      <c r="B84" s="8">
        <v>72</v>
      </c>
    </row>
    <row r="85" spans="2:2" x14ac:dyDescent="0.3">
      <c r="B85" s="8">
        <v>74.2</v>
      </c>
    </row>
    <row r="86" spans="2:2" x14ac:dyDescent="0.3">
      <c r="B86" s="8">
        <v>71.7</v>
      </c>
    </row>
    <row r="87" spans="2:2" x14ac:dyDescent="0.3">
      <c r="B87" s="8">
        <v>80.7</v>
      </c>
    </row>
    <row r="88" spans="2:2" x14ac:dyDescent="0.3">
      <c r="B88" s="8">
        <v>84.1</v>
      </c>
    </row>
    <row r="89" spans="2:2" x14ac:dyDescent="0.3">
      <c r="B89" s="8">
        <v>87.4</v>
      </c>
    </row>
    <row r="90" spans="2:2" x14ac:dyDescent="0.3">
      <c r="B90" s="8">
        <v>77.400000000000006</v>
      </c>
    </row>
    <row r="91" spans="2:2" x14ac:dyDescent="0.3">
      <c r="B91" s="8">
        <v>84.7</v>
      </c>
    </row>
    <row r="92" spans="2:2" x14ac:dyDescent="0.3">
      <c r="B92" s="8">
        <v>78.8</v>
      </c>
    </row>
    <row r="93" spans="2:2" x14ac:dyDescent="0.3">
      <c r="B93" s="8">
        <v>92.7</v>
      </c>
    </row>
    <row r="94" spans="2:2" x14ac:dyDescent="0.3">
      <c r="B94" s="8">
        <v>88.8</v>
      </c>
    </row>
    <row r="95" spans="2:2" x14ac:dyDescent="0.3">
      <c r="B95" s="8">
        <v>86.6</v>
      </c>
    </row>
    <row r="96" spans="2:2" x14ac:dyDescent="0.3">
      <c r="B96" s="8">
        <v>77.900000000000006</v>
      </c>
    </row>
    <row r="97" spans="2:2" x14ac:dyDescent="0.3">
      <c r="B97" s="8">
        <v>86.1</v>
      </c>
    </row>
    <row r="98" spans="2:2" x14ac:dyDescent="0.3">
      <c r="B98" s="8">
        <v>89.9</v>
      </c>
    </row>
    <row r="99" spans="2:2" x14ac:dyDescent="0.3">
      <c r="B99" s="8">
        <v>83.1</v>
      </c>
    </row>
    <row r="100" spans="2:2" x14ac:dyDescent="0.3">
      <c r="B100" s="8">
        <v>82.6</v>
      </c>
    </row>
  </sheetData>
  <mergeCells count="5">
    <mergeCell ref="L5:M5"/>
    <mergeCell ref="D5:G5"/>
    <mergeCell ref="I5:J5"/>
    <mergeCell ref="O5:P5"/>
    <mergeCell ref="R6:R1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8FA12EC-BCF3-4B5D-9E88-F612CBF7E477}">
          <x14:formula1>
            <xm:f>'P-Value'!$F$6:$F$7</xm:f>
          </x14:formula1>
          <xm:sqref>F6:F7</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51E04-65D7-4D1D-9945-E8519C173177}">
  <sheetPr codeName="Sheet43">
    <tabColor theme="7" tint="0.79998168889431442"/>
  </sheetPr>
  <dimension ref="B1:V100"/>
  <sheetViews>
    <sheetView showGridLines="0" topLeftCell="D1" workbookViewId="0">
      <selection activeCell="S12" sqref="S12"/>
    </sheetView>
  </sheetViews>
  <sheetFormatPr defaultRowHeight="14.4" x14ac:dyDescent="0.3"/>
  <cols>
    <col min="1" max="1" width="2.88671875" customWidth="1"/>
    <col min="2" max="2" width="19.33203125" bestFit="1" customWidth="1"/>
    <col min="3" max="3" width="10.33203125" bestFit="1" customWidth="1"/>
    <col min="5" max="5" width="6.5546875" customWidth="1"/>
    <col min="6" max="7" width="2.88671875" customWidth="1"/>
    <col min="10" max="10" width="11.44140625" customWidth="1"/>
    <col min="13" max="13" width="12.109375" customWidth="1"/>
    <col min="14" max="14" width="11.44140625" customWidth="1"/>
    <col min="16" max="16" width="15.6640625" bestFit="1" customWidth="1"/>
    <col min="19" max="19" width="59" customWidth="1"/>
    <col min="21" max="22" width="0" hidden="1" customWidth="1"/>
  </cols>
  <sheetData>
    <row r="1" spans="2:22" ht="25.5" customHeight="1" x14ac:dyDescent="0.35">
      <c r="B1" s="17" t="s">
        <v>278</v>
      </c>
    </row>
    <row r="2" spans="2:22" ht="15" customHeight="1" x14ac:dyDescent="0.3">
      <c r="B2" s="27" t="s">
        <v>193</v>
      </c>
    </row>
    <row r="3" spans="2:22" ht="18" customHeight="1" x14ac:dyDescent="0.3"/>
    <row r="4" spans="2:22" x14ac:dyDescent="0.3">
      <c r="E4" s="3"/>
      <c r="M4" s="3"/>
      <c r="P4" s="3"/>
    </row>
    <row r="5" spans="2:22" x14ac:dyDescent="0.3">
      <c r="B5" s="36" t="s">
        <v>22</v>
      </c>
      <c r="C5" s="37" t="s">
        <v>11</v>
      </c>
      <c r="E5" s="110" t="s">
        <v>181</v>
      </c>
      <c r="F5" s="110"/>
      <c r="G5" s="110"/>
      <c r="H5" s="110"/>
      <c r="J5" s="110" t="s">
        <v>183</v>
      </c>
      <c r="K5" s="110"/>
      <c r="M5" s="108" t="s">
        <v>128</v>
      </c>
      <c r="N5" s="108"/>
      <c r="P5" s="108" t="s">
        <v>186</v>
      </c>
      <c r="Q5" s="108"/>
      <c r="S5" s="45" t="s">
        <v>185</v>
      </c>
      <c r="U5" s="86" t="s">
        <v>191</v>
      </c>
      <c r="V5" t="s">
        <v>192</v>
      </c>
    </row>
    <row r="6" spans="2:22" x14ac:dyDescent="0.3">
      <c r="B6" s="46">
        <v>276</v>
      </c>
      <c r="C6" s="46" t="s">
        <v>12</v>
      </c>
      <c r="E6" s="19" t="s">
        <v>177</v>
      </c>
      <c r="F6" s="83" t="s">
        <v>179</v>
      </c>
      <c r="G6" s="83" t="s">
        <v>191</v>
      </c>
      <c r="H6" s="84">
        <v>300</v>
      </c>
      <c r="J6" s="19" t="s">
        <v>132</v>
      </c>
      <c r="K6" s="65">
        <v>0.15</v>
      </c>
      <c r="M6" s="19" t="s">
        <v>63</v>
      </c>
      <c r="N6" s="65">
        <v>53</v>
      </c>
      <c r="P6" s="19" t="s">
        <v>135</v>
      </c>
      <c r="Q6" s="69">
        <f>N8/SQRT(N6)</f>
        <v>11.880315175922114</v>
      </c>
      <c r="S6" s="112" t="s">
        <v>317</v>
      </c>
      <c r="U6" s="86" t="s">
        <v>276</v>
      </c>
      <c r="V6" t="s">
        <v>277</v>
      </c>
    </row>
    <row r="7" spans="2:22" x14ac:dyDescent="0.3">
      <c r="B7" s="8">
        <v>410</v>
      </c>
      <c r="C7" s="8" t="s">
        <v>13</v>
      </c>
      <c r="E7" s="19" t="s">
        <v>178</v>
      </c>
      <c r="F7" s="83" t="s">
        <v>179</v>
      </c>
      <c r="G7" s="83" t="s">
        <v>192</v>
      </c>
      <c r="H7" s="84">
        <v>300</v>
      </c>
      <c r="J7" s="19"/>
      <c r="K7" s="1"/>
      <c r="M7" s="19" t="s">
        <v>41</v>
      </c>
      <c r="N7" s="66">
        <v>320.5</v>
      </c>
      <c r="P7" s="19" t="s">
        <v>184</v>
      </c>
      <c r="Q7" s="85">
        <f>(N7-H6)/Q6</f>
        <v>1.7255434469909889</v>
      </c>
      <c r="S7" s="112"/>
    </row>
    <row r="8" spans="2:22" x14ac:dyDescent="0.3">
      <c r="B8" s="8">
        <v>119</v>
      </c>
      <c r="C8" s="8" t="s">
        <v>12</v>
      </c>
      <c r="E8" s="19"/>
      <c r="F8" s="32"/>
      <c r="G8" s="32"/>
      <c r="H8" s="32"/>
      <c r="M8" s="19" t="s">
        <v>62</v>
      </c>
      <c r="N8" s="69">
        <v>86.49</v>
      </c>
      <c r="P8" s="19" t="s">
        <v>189</v>
      </c>
      <c r="Q8" s="64">
        <f>_xlfn.T.DIST.RT(Q7,N6-1)</f>
        <v>4.5184175990445906E-2</v>
      </c>
      <c r="S8" s="112"/>
    </row>
    <row r="9" spans="2:22" x14ac:dyDescent="0.3">
      <c r="B9" s="8">
        <v>334</v>
      </c>
      <c r="C9" s="8" t="s">
        <v>13</v>
      </c>
      <c r="E9" s="19"/>
      <c r="F9" s="33"/>
      <c r="G9" s="33"/>
      <c r="H9" s="33"/>
      <c r="S9" s="112"/>
    </row>
    <row r="10" spans="2:22" x14ac:dyDescent="0.3">
      <c r="B10" s="8">
        <v>252</v>
      </c>
      <c r="C10" s="8" t="s">
        <v>13</v>
      </c>
      <c r="E10" s="19"/>
      <c r="F10" s="20"/>
      <c r="G10" s="20"/>
      <c r="H10" s="20"/>
      <c r="S10" s="112"/>
    </row>
    <row r="11" spans="2:22" x14ac:dyDescent="0.3">
      <c r="B11" s="8">
        <v>209</v>
      </c>
      <c r="C11" s="8" t="s">
        <v>13</v>
      </c>
      <c r="E11" s="19"/>
      <c r="F11" s="20"/>
      <c r="G11" s="20"/>
      <c r="H11" s="20"/>
      <c r="S11" s="112"/>
    </row>
    <row r="12" spans="2:22" x14ac:dyDescent="0.3">
      <c r="B12" s="8">
        <v>462</v>
      </c>
      <c r="C12" s="8" t="s">
        <v>12</v>
      </c>
    </row>
    <row r="13" spans="2:22" x14ac:dyDescent="0.3">
      <c r="B13" s="8">
        <v>342</v>
      </c>
      <c r="C13" s="8" t="s">
        <v>12</v>
      </c>
    </row>
    <row r="14" spans="2:22" x14ac:dyDescent="0.3">
      <c r="B14" s="8">
        <v>347</v>
      </c>
      <c r="C14" s="8" t="s">
        <v>12</v>
      </c>
    </row>
    <row r="15" spans="2:22" x14ac:dyDescent="0.3">
      <c r="B15" s="8">
        <v>313</v>
      </c>
      <c r="C15" s="8" t="s">
        <v>12</v>
      </c>
    </row>
    <row r="16" spans="2:22" x14ac:dyDescent="0.3">
      <c r="B16" s="8">
        <v>232</v>
      </c>
      <c r="C16" s="8" t="s">
        <v>13</v>
      </c>
    </row>
    <row r="17" spans="2:3" x14ac:dyDescent="0.3">
      <c r="B17" s="8">
        <v>163</v>
      </c>
      <c r="C17" s="8" t="s">
        <v>12</v>
      </c>
    </row>
    <row r="18" spans="2:3" x14ac:dyDescent="0.3">
      <c r="B18" s="8">
        <v>119</v>
      </c>
      <c r="C18" s="8" t="s">
        <v>13</v>
      </c>
    </row>
    <row r="19" spans="2:3" x14ac:dyDescent="0.3">
      <c r="B19" s="8">
        <v>304</v>
      </c>
      <c r="C19" s="8" t="s">
        <v>12</v>
      </c>
    </row>
    <row r="20" spans="2:3" x14ac:dyDescent="0.3">
      <c r="B20" s="8">
        <v>211</v>
      </c>
      <c r="C20" s="8" t="s">
        <v>12</v>
      </c>
    </row>
    <row r="21" spans="2:3" x14ac:dyDescent="0.3">
      <c r="B21" s="8">
        <v>286</v>
      </c>
      <c r="C21" s="8" t="s">
        <v>12</v>
      </c>
    </row>
    <row r="22" spans="2:3" x14ac:dyDescent="0.3">
      <c r="B22" s="8">
        <v>122</v>
      </c>
      <c r="C22" s="8" t="s">
        <v>13</v>
      </c>
    </row>
    <row r="23" spans="2:3" x14ac:dyDescent="0.3">
      <c r="B23" s="8">
        <v>443</v>
      </c>
      <c r="C23" s="8" t="s">
        <v>12</v>
      </c>
    </row>
    <row r="24" spans="2:3" x14ac:dyDescent="0.3">
      <c r="B24" s="8">
        <v>366</v>
      </c>
      <c r="C24" s="8" t="s">
        <v>13</v>
      </c>
    </row>
    <row r="25" spans="2:3" x14ac:dyDescent="0.3">
      <c r="B25" s="8">
        <v>244</v>
      </c>
      <c r="C25" s="8" t="s">
        <v>13</v>
      </c>
    </row>
    <row r="26" spans="2:3" x14ac:dyDescent="0.3">
      <c r="B26" s="8">
        <v>241</v>
      </c>
      <c r="C26" s="8" t="s">
        <v>13</v>
      </c>
    </row>
    <row r="27" spans="2:3" x14ac:dyDescent="0.3">
      <c r="B27" s="8">
        <v>237</v>
      </c>
      <c r="C27" s="8" t="s">
        <v>12</v>
      </c>
    </row>
    <row r="28" spans="2:3" x14ac:dyDescent="0.3">
      <c r="B28" s="8">
        <v>122</v>
      </c>
      <c r="C28" s="8" t="s">
        <v>13</v>
      </c>
    </row>
    <row r="29" spans="2:3" x14ac:dyDescent="0.3">
      <c r="B29" s="8">
        <v>129</v>
      </c>
      <c r="C29" s="8" t="s">
        <v>13</v>
      </c>
    </row>
    <row r="30" spans="2:3" x14ac:dyDescent="0.3">
      <c r="B30" s="8">
        <v>236</v>
      </c>
      <c r="C30" s="8" t="s">
        <v>12</v>
      </c>
    </row>
    <row r="31" spans="2:3" x14ac:dyDescent="0.3">
      <c r="B31" s="8">
        <v>251</v>
      </c>
      <c r="C31" s="8" t="s">
        <v>12</v>
      </c>
    </row>
    <row r="32" spans="2:3" x14ac:dyDescent="0.3">
      <c r="B32" s="8">
        <v>283</v>
      </c>
      <c r="C32" s="8" t="s">
        <v>12</v>
      </c>
    </row>
    <row r="33" spans="2:3" x14ac:dyDescent="0.3">
      <c r="B33" s="8">
        <v>225</v>
      </c>
      <c r="C33" s="8" t="s">
        <v>13</v>
      </c>
    </row>
    <row r="34" spans="2:3" x14ac:dyDescent="0.3">
      <c r="B34" s="8">
        <v>102</v>
      </c>
      <c r="C34" s="8" t="s">
        <v>13</v>
      </c>
    </row>
    <row r="35" spans="2:3" x14ac:dyDescent="0.3">
      <c r="B35" s="8">
        <v>180</v>
      </c>
      <c r="C35" s="8" t="s">
        <v>12</v>
      </c>
    </row>
    <row r="36" spans="2:3" x14ac:dyDescent="0.3">
      <c r="B36" s="8">
        <v>247</v>
      </c>
      <c r="C36" s="8" t="s">
        <v>13</v>
      </c>
    </row>
    <row r="37" spans="2:3" x14ac:dyDescent="0.3">
      <c r="B37" s="8">
        <v>343</v>
      </c>
      <c r="C37" s="8" t="s">
        <v>13</v>
      </c>
    </row>
    <row r="38" spans="2:3" x14ac:dyDescent="0.3">
      <c r="B38" s="8">
        <v>283</v>
      </c>
      <c r="C38" s="8" t="s">
        <v>13</v>
      </c>
    </row>
    <row r="39" spans="2:3" x14ac:dyDescent="0.3">
      <c r="B39" s="8">
        <v>253</v>
      </c>
      <c r="C39" s="8" t="s">
        <v>12</v>
      </c>
    </row>
    <row r="40" spans="2:3" x14ac:dyDescent="0.3">
      <c r="B40" s="8">
        <v>263</v>
      </c>
      <c r="C40" s="8" t="s">
        <v>13</v>
      </c>
    </row>
    <row r="41" spans="2:3" x14ac:dyDescent="0.3">
      <c r="B41" s="8">
        <v>291</v>
      </c>
      <c r="C41" s="8" t="s">
        <v>12</v>
      </c>
    </row>
    <row r="42" spans="2:3" x14ac:dyDescent="0.3">
      <c r="B42" s="8">
        <v>368</v>
      </c>
      <c r="C42" s="8" t="s">
        <v>12</v>
      </c>
    </row>
    <row r="43" spans="2:3" x14ac:dyDescent="0.3">
      <c r="B43" s="8">
        <v>206</v>
      </c>
      <c r="C43" s="8" t="s">
        <v>13</v>
      </c>
    </row>
    <row r="44" spans="2:3" x14ac:dyDescent="0.3">
      <c r="B44" s="8">
        <v>231</v>
      </c>
      <c r="C44" s="8" t="s">
        <v>13</v>
      </c>
    </row>
    <row r="45" spans="2:3" x14ac:dyDescent="0.3">
      <c r="B45" s="8">
        <v>389</v>
      </c>
      <c r="C45" s="8" t="s">
        <v>13</v>
      </c>
    </row>
    <row r="46" spans="2:3" x14ac:dyDescent="0.3">
      <c r="B46" s="8">
        <v>396</v>
      </c>
      <c r="C46" s="8" t="s">
        <v>12</v>
      </c>
    </row>
    <row r="47" spans="2:3" x14ac:dyDescent="0.3">
      <c r="B47" s="8">
        <v>339</v>
      </c>
      <c r="C47" s="8" t="s">
        <v>12</v>
      </c>
    </row>
    <row r="48" spans="2:3" x14ac:dyDescent="0.3">
      <c r="B48" s="8">
        <v>286</v>
      </c>
      <c r="C48" s="8" t="s">
        <v>12</v>
      </c>
    </row>
    <row r="49" spans="2:3" x14ac:dyDescent="0.3">
      <c r="B49" s="8">
        <v>146</v>
      </c>
      <c r="C49" s="8" t="s">
        <v>13</v>
      </c>
    </row>
    <row r="50" spans="2:3" x14ac:dyDescent="0.3">
      <c r="B50" s="8">
        <v>315</v>
      </c>
      <c r="C50" s="8" t="s">
        <v>12</v>
      </c>
    </row>
    <row r="51" spans="2:3" x14ac:dyDescent="0.3">
      <c r="B51" s="8">
        <v>183</v>
      </c>
      <c r="C51" s="8" t="s">
        <v>13</v>
      </c>
    </row>
    <row r="52" spans="2:3" x14ac:dyDescent="0.3">
      <c r="B52" s="8">
        <v>481</v>
      </c>
      <c r="C52" s="8" t="s">
        <v>12</v>
      </c>
    </row>
    <row r="53" spans="2:3" x14ac:dyDescent="0.3">
      <c r="B53" s="8">
        <v>349</v>
      </c>
      <c r="C53" s="8" t="s">
        <v>13</v>
      </c>
    </row>
    <row r="54" spans="2:3" x14ac:dyDescent="0.3">
      <c r="B54" s="8">
        <v>225</v>
      </c>
      <c r="C54" s="8" t="s">
        <v>12</v>
      </c>
    </row>
    <row r="55" spans="2:3" x14ac:dyDescent="0.3">
      <c r="B55" s="8">
        <v>217</v>
      </c>
      <c r="C55" s="8" t="s">
        <v>12</v>
      </c>
    </row>
    <row r="56" spans="2:3" x14ac:dyDescent="0.3">
      <c r="B56" s="8">
        <v>353</v>
      </c>
      <c r="C56" s="8" t="s">
        <v>12</v>
      </c>
    </row>
    <row r="57" spans="2:3" x14ac:dyDescent="0.3">
      <c r="B57" s="8">
        <v>314</v>
      </c>
      <c r="C57" s="8" t="s">
        <v>13</v>
      </c>
    </row>
    <row r="58" spans="2:3" x14ac:dyDescent="0.3">
      <c r="B58" s="8">
        <v>247</v>
      </c>
      <c r="C58" s="8" t="s">
        <v>12</v>
      </c>
    </row>
    <row r="59" spans="2:3" x14ac:dyDescent="0.3">
      <c r="B59" s="8">
        <v>410</v>
      </c>
      <c r="C59" s="8" t="s">
        <v>12</v>
      </c>
    </row>
    <row r="60" spans="2:3" x14ac:dyDescent="0.3">
      <c r="B60" s="8">
        <v>395</v>
      </c>
      <c r="C60" s="8" t="s">
        <v>12</v>
      </c>
    </row>
    <row r="61" spans="2:3" x14ac:dyDescent="0.3">
      <c r="B61" s="8">
        <v>416</v>
      </c>
      <c r="C61" s="8" t="s">
        <v>12</v>
      </c>
    </row>
    <row r="62" spans="2:3" x14ac:dyDescent="0.3">
      <c r="B62" s="8">
        <v>342</v>
      </c>
      <c r="C62" s="8" t="s">
        <v>12</v>
      </c>
    </row>
    <row r="63" spans="2:3" x14ac:dyDescent="0.3">
      <c r="B63" s="8">
        <v>446</v>
      </c>
      <c r="C63" s="8" t="s">
        <v>12</v>
      </c>
    </row>
    <row r="64" spans="2:3" x14ac:dyDescent="0.3">
      <c r="B64" s="8">
        <v>477</v>
      </c>
      <c r="C64" s="8" t="s">
        <v>12</v>
      </c>
    </row>
    <row r="65" spans="2:3" x14ac:dyDescent="0.3">
      <c r="B65" s="8">
        <v>444</v>
      </c>
      <c r="C65" s="8" t="s">
        <v>12</v>
      </c>
    </row>
    <row r="66" spans="2:3" x14ac:dyDescent="0.3">
      <c r="B66" s="8">
        <v>351</v>
      </c>
      <c r="C66" s="8" t="s">
        <v>12</v>
      </c>
    </row>
    <row r="67" spans="2:3" x14ac:dyDescent="0.3">
      <c r="B67" s="8">
        <v>165</v>
      </c>
      <c r="C67" s="8" t="s">
        <v>13</v>
      </c>
    </row>
    <row r="68" spans="2:3" x14ac:dyDescent="0.3">
      <c r="B68" s="8">
        <v>317</v>
      </c>
      <c r="C68" s="8" t="s">
        <v>12</v>
      </c>
    </row>
    <row r="69" spans="2:3" x14ac:dyDescent="0.3">
      <c r="B69" s="8">
        <v>250</v>
      </c>
      <c r="C69" s="8" t="s">
        <v>12</v>
      </c>
    </row>
    <row r="70" spans="2:3" x14ac:dyDescent="0.3">
      <c r="B70" s="8">
        <v>217</v>
      </c>
      <c r="C70" s="8" t="s">
        <v>13</v>
      </c>
    </row>
    <row r="71" spans="2:3" x14ac:dyDescent="0.3">
      <c r="B71" s="8">
        <v>138</v>
      </c>
      <c r="C71" s="8" t="s">
        <v>13</v>
      </c>
    </row>
    <row r="72" spans="2:3" x14ac:dyDescent="0.3">
      <c r="B72" s="8">
        <v>302</v>
      </c>
      <c r="C72" s="8" t="s">
        <v>12</v>
      </c>
    </row>
    <row r="73" spans="2:3" x14ac:dyDescent="0.3">
      <c r="B73" s="8">
        <v>311</v>
      </c>
      <c r="C73" s="8" t="s">
        <v>13</v>
      </c>
    </row>
    <row r="74" spans="2:3" x14ac:dyDescent="0.3">
      <c r="B74" s="8">
        <v>373</v>
      </c>
      <c r="C74" s="8" t="s">
        <v>12</v>
      </c>
    </row>
    <row r="75" spans="2:3" x14ac:dyDescent="0.3">
      <c r="B75" s="8">
        <v>196</v>
      </c>
      <c r="C75" s="8" t="s">
        <v>13</v>
      </c>
    </row>
    <row r="76" spans="2:3" x14ac:dyDescent="0.3">
      <c r="B76" s="8">
        <v>306</v>
      </c>
      <c r="C76" s="8" t="s">
        <v>12</v>
      </c>
    </row>
    <row r="77" spans="2:3" x14ac:dyDescent="0.3">
      <c r="B77" s="8">
        <v>302</v>
      </c>
      <c r="C77" s="8" t="s">
        <v>13</v>
      </c>
    </row>
    <row r="78" spans="2:3" x14ac:dyDescent="0.3">
      <c r="B78" s="8">
        <v>278</v>
      </c>
      <c r="C78" s="8" t="s">
        <v>13</v>
      </c>
    </row>
    <row r="79" spans="2:3" x14ac:dyDescent="0.3">
      <c r="B79" s="8">
        <v>429</v>
      </c>
      <c r="C79" s="8" t="s">
        <v>13</v>
      </c>
    </row>
    <row r="80" spans="2:3" x14ac:dyDescent="0.3">
      <c r="B80" s="8">
        <v>338</v>
      </c>
      <c r="C80" s="8" t="s">
        <v>12</v>
      </c>
    </row>
    <row r="81" spans="2:3" x14ac:dyDescent="0.3">
      <c r="B81" s="8">
        <v>261</v>
      </c>
      <c r="C81" s="8" t="s">
        <v>13</v>
      </c>
    </row>
    <row r="82" spans="2:3" x14ac:dyDescent="0.3">
      <c r="B82" s="8">
        <v>256</v>
      </c>
      <c r="C82" s="8" t="s">
        <v>13</v>
      </c>
    </row>
    <row r="83" spans="2:3" x14ac:dyDescent="0.3">
      <c r="B83" s="8">
        <v>183</v>
      </c>
      <c r="C83" s="8" t="s">
        <v>12</v>
      </c>
    </row>
    <row r="84" spans="2:3" x14ac:dyDescent="0.3">
      <c r="B84" s="8">
        <v>274</v>
      </c>
      <c r="C84" s="8" t="s">
        <v>12</v>
      </c>
    </row>
    <row r="85" spans="2:3" x14ac:dyDescent="0.3">
      <c r="B85" s="8">
        <v>182</v>
      </c>
      <c r="C85" s="8" t="s">
        <v>13</v>
      </c>
    </row>
    <row r="86" spans="2:3" x14ac:dyDescent="0.3">
      <c r="B86" s="8">
        <v>183</v>
      </c>
      <c r="C86" s="8" t="s">
        <v>13</v>
      </c>
    </row>
    <row r="87" spans="2:3" x14ac:dyDescent="0.3">
      <c r="B87" s="8">
        <v>309</v>
      </c>
      <c r="C87" s="8" t="s">
        <v>12</v>
      </c>
    </row>
    <row r="88" spans="2:3" x14ac:dyDescent="0.3">
      <c r="B88" s="8">
        <v>178</v>
      </c>
      <c r="C88" s="8" t="s">
        <v>13</v>
      </c>
    </row>
    <row r="89" spans="2:3" x14ac:dyDescent="0.3">
      <c r="B89" s="8">
        <v>458</v>
      </c>
      <c r="C89" s="8" t="s">
        <v>12</v>
      </c>
    </row>
    <row r="90" spans="2:3" x14ac:dyDescent="0.3">
      <c r="B90" s="8">
        <v>234</v>
      </c>
      <c r="C90" s="8" t="s">
        <v>12</v>
      </c>
    </row>
    <row r="91" spans="2:3" x14ac:dyDescent="0.3">
      <c r="B91" s="8">
        <v>306</v>
      </c>
      <c r="C91" s="8" t="s">
        <v>12</v>
      </c>
    </row>
    <row r="92" spans="2:3" x14ac:dyDescent="0.3">
      <c r="B92" s="8">
        <v>400</v>
      </c>
      <c r="C92" s="8" t="s">
        <v>12</v>
      </c>
    </row>
    <row r="93" spans="2:3" x14ac:dyDescent="0.3">
      <c r="B93" s="8">
        <v>337</v>
      </c>
      <c r="C93" s="8" t="s">
        <v>13</v>
      </c>
    </row>
    <row r="94" spans="2:3" x14ac:dyDescent="0.3">
      <c r="B94" s="8">
        <v>325</v>
      </c>
      <c r="C94" s="8" t="s">
        <v>12</v>
      </c>
    </row>
    <row r="95" spans="2:3" x14ac:dyDescent="0.3">
      <c r="B95" s="8">
        <v>329</v>
      </c>
      <c r="C95" s="8" t="s">
        <v>13</v>
      </c>
    </row>
    <row r="96" spans="2:3" x14ac:dyDescent="0.3">
      <c r="B96" s="8">
        <v>369</v>
      </c>
      <c r="C96" s="8" t="s">
        <v>12</v>
      </c>
    </row>
    <row r="97" spans="2:3" x14ac:dyDescent="0.3">
      <c r="B97" s="8">
        <v>457</v>
      </c>
      <c r="C97" s="8" t="s">
        <v>12</v>
      </c>
    </row>
    <row r="98" spans="2:3" x14ac:dyDescent="0.3">
      <c r="B98" s="8">
        <v>421</v>
      </c>
      <c r="C98" s="8" t="s">
        <v>13</v>
      </c>
    </row>
    <row r="99" spans="2:3" x14ac:dyDescent="0.3">
      <c r="B99" s="8">
        <v>282</v>
      </c>
      <c r="C99" s="8" t="s">
        <v>12</v>
      </c>
    </row>
    <row r="100" spans="2:3" x14ac:dyDescent="0.3">
      <c r="B100" s="8">
        <v>256</v>
      </c>
      <c r="C100" s="8" t="s">
        <v>13</v>
      </c>
    </row>
  </sheetData>
  <mergeCells count="5">
    <mergeCell ref="M5:N5"/>
    <mergeCell ref="E5:H5"/>
    <mergeCell ref="J5:K5"/>
    <mergeCell ref="P5:Q5"/>
    <mergeCell ref="S6:S11"/>
  </mergeCells>
  <dataValidations count="2">
    <dataValidation type="list" allowBlank="1" showInputMessage="1" showErrorMessage="1" sqref="G6" xr:uid="{0EA8714A-0B9D-4055-A7A6-5F99DE8281F8}">
      <formula1>$U$5:$U$6</formula1>
    </dataValidation>
    <dataValidation type="list" allowBlank="1" showInputMessage="1" showErrorMessage="1" sqref="G7" xr:uid="{D9F0612E-42D0-4244-A7B0-66921AECED67}">
      <formula1>$V$5:$V$6</formula1>
    </dataValidation>
  </dataValidation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E5303-E801-47D0-B7E5-F40CA5CE77A8}">
  <sheetPr codeName="Sheet45">
    <tabColor theme="7" tint="0.59999389629810485"/>
  </sheetPr>
  <dimension ref="B1:V58"/>
  <sheetViews>
    <sheetView showGridLines="0" topLeftCell="C1" workbookViewId="0">
      <selection activeCell="R12" sqref="R12"/>
    </sheetView>
  </sheetViews>
  <sheetFormatPr defaultRowHeight="14.4" x14ac:dyDescent="0.3"/>
  <cols>
    <col min="1" max="1" width="2.88671875" customWidth="1"/>
    <col min="2" max="2" width="13.109375" bestFit="1" customWidth="1"/>
    <col min="4" max="4" width="13.5546875" customWidth="1"/>
    <col min="5" max="5" width="11.44140625" customWidth="1"/>
    <col min="7" max="7" width="6.5546875" customWidth="1"/>
    <col min="8" max="9" width="2.88671875" customWidth="1"/>
    <col min="12" max="12" width="11.44140625" customWidth="1"/>
    <col min="15" max="15" width="15.6640625" bestFit="1" customWidth="1"/>
    <col min="18" max="18" width="60.6640625" customWidth="1"/>
    <col min="21" max="22" width="9.109375" hidden="1" customWidth="1"/>
  </cols>
  <sheetData>
    <row r="1" spans="2:22" ht="25.5" customHeight="1" x14ac:dyDescent="0.35">
      <c r="B1" s="17" t="s">
        <v>196</v>
      </c>
    </row>
    <row r="2" spans="2:22" ht="15" customHeight="1" x14ac:dyDescent="0.3">
      <c r="B2" s="27" t="s">
        <v>193</v>
      </c>
    </row>
    <row r="3" spans="2:22" ht="18" customHeight="1" x14ac:dyDescent="0.3"/>
    <row r="4" spans="2:22" x14ac:dyDescent="0.3">
      <c r="D4" s="3"/>
      <c r="G4" s="3"/>
      <c r="O4" s="3"/>
    </row>
    <row r="5" spans="2:22" x14ac:dyDescent="0.3">
      <c r="B5" s="7" t="s">
        <v>30</v>
      </c>
      <c r="D5" s="108" t="s">
        <v>128</v>
      </c>
      <c r="E5" s="108"/>
      <c r="G5" s="110" t="s">
        <v>181</v>
      </c>
      <c r="H5" s="110"/>
      <c r="I5" s="110"/>
      <c r="J5" s="110"/>
      <c r="L5" s="110" t="s">
        <v>183</v>
      </c>
      <c r="M5" s="110"/>
      <c r="O5" s="108" t="s">
        <v>186</v>
      </c>
      <c r="P5" s="108"/>
      <c r="R5" s="45" t="s">
        <v>185</v>
      </c>
      <c r="U5" t="s">
        <v>180</v>
      </c>
      <c r="V5" s="86" t="s">
        <v>182</v>
      </c>
    </row>
    <row r="6" spans="2:22" x14ac:dyDescent="0.3">
      <c r="B6" s="48">
        <v>111000</v>
      </c>
      <c r="D6" s="19" t="s">
        <v>63</v>
      </c>
      <c r="E6" s="65">
        <f>COUNT(B6:B58)</f>
        <v>53</v>
      </c>
      <c r="G6" s="19" t="s">
        <v>177</v>
      </c>
      <c r="H6" s="83" t="s">
        <v>195</v>
      </c>
      <c r="I6" s="83" t="s">
        <v>191</v>
      </c>
      <c r="J6" s="87">
        <v>0.5</v>
      </c>
      <c r="L6" s="19" t="s">
        <v>132</v>
      </c>
      <c r="M6" s="65">
        <f>1-0.95</f>
        <v>5.0000000000000044E-2</v>
      </c>
      <c r="O6" s="19" t="s">
        <v>135</v>
      </c>
      <c r="P6" s="88">
        <f>SQRT(E7*E8/E6)</f>
        <v>6.5872243431592162E-2</v>
      </c>
      <c r="R6" s="112" t="s">
        <v>318</v>
      </c>
      <c r="U6" t="s">
        <v>191</v>
      </c>
      <c r="V6" s="86" t="s">
        <v>192</v>
      </c>
    </row>
    <row r="7" spans="2:22" x14ac:dyDescent="0.3">
      <c r="B7" s="48">
        <v>107000</v>
      </c>
      <c r="D7" s="19" t="s">
        <v>146</v>
      </c>
      <c r="E7" s="81">
        <f>COUNTIFS(B6:B58,"&gt;=100000")/E6</f>
        <v>0.64150943396226412</v>
      </c>
      <c r="G7" s="19" t="s">
        <v>178</v>
      </c>
      <c r="H7" s="83" t="s">
        <v>195</v>
      </c>
      <c r="I7" s="83" t="s">
        <v>192</v>
      </c>
      <c r="J7" s="87">
        <v>0.5</v>
      </c>
      <c r="L7" s="19"/>
      <c r="M7" s="1"/>
      <c r="O7" s="19" t="s">
        <v>194</v>
      </c>
      <c r="P7" s="85">
        <f>(E7-J6)/P6</f>
        <v>2.14824069426481</v>
      </c>
      <c r="R7" s="112"/>
      <c r="U7" t="s">
        <v>276</v>
      </c>
      <c r="V7" t="s">
        <v>277</v>
      </c>
    </row>
    <row r="8" spans="2:22" x14ac:dyDescent="0.3">
      <c r="B8" s="48">
        <v>109000</v>
      </c>
      <c r="D8" s="19" t="s">
        <v>147</v>
      </c>
      <c r="E8" s="81">
        <f>1-E7</f>
        <v>0.35849056603773588</v>
      </c>
      <c r="G8" s="19"/>
      <c r="H8" s="32"/>
      <c r="I8" s="32"/>
      <c r="J8" s="32"/>
      <c r="O8" s="19" t="s">
        <v>189</v>
      </c>
      <c r="P8" s="64">
        <f>1-_xlfn.NORM.S.DIST(P7,TRUE)</f>
        <v>1.5847319730759257E-2</v>
      </c>
      <c r="R8" s="112"/>
    </row>
    <row r="9" spans="2:22" x14ac:dyDescent="0.3">
      <c r="B9" s="48">
        <v>148000</v>
      </c>
      <c r="G9" s="19"/>
      <c r="H9" s="33"/>
      <c r="I9" s="33"/>
      <c r="J9" s="33"/>
      <c r="R9" s="112"/>
    </row>
    <row r="10" spans="2:22" x14ac:dyDescent="0.3">
      <c r="B10" s="48">
        <v>255500</v>
      </c>
      <c r="D10" s="108" t="s">
        <v>151</v>
      </c>
      <c r="E10" s="108"/>
      <c r="G10" s="19"/>
      <c r="H10" s="20"/>
      <c r="I10" s="20"/>
      <c r="J10" s="20"/>
      <c r="R10" s="112"/>
    </row>
    <row r="11" spans="2:22" x14ac:dyDescent="0.3">
      <c r="B11" s="48">
        <v>103500</v>
      </c>
      <c r="D11" s="19" t="s">
        <v>152</v>
      </c>
      <c r="E11" s="65">
        <f>E7*E6</f>
        <v>34</v>
      </c>
      <c r="G11" s="19"/>
      <c r="H11" s="20"/>
      <c r="I11" s="20"/>
      <c r="J11" s="20"/>
      <c r="R11" s="112"/>
    </row>
    <row r="12" spans="2:22" x14ac:dyDescent="0.3">
      <c r="B12" s="48">
        <v>114500</v>
      </c>
      <c r="D12" s="19" t="s">
        <v>153</v>
      </c>
      <c r="E12" s="65">
        <f>E8*E6</f>
        <v>19</v>
      </c>
    </row>
    <row r="13" spans="2:22" x14ac:dyDescent="0.3">
      <c r="B13" s="48">
        <v>124000</v>
      </c>
    </row>
    <row r="14" spans="2:22" x14ac:dyDescent="0.3">
      <c r="B14" s="48">
        <v>132500</v>
      </c>
    </row>
    <row r="15" spans="2:22" x14ac:dyDescent="0.3">
      <c r="B15" s="48">
        <v>99000</v>
      </c>
    </row>
    <row r="16" spans="2:22" x14ac:dyDescent="0.3">
      <c r="B16" s="48">
        <v>124000</v>
      </c>
    </row>
    <row r="17" spans="2:2" x14ac:dyDescent="0.3">
      <c r="B17" s="48">
        <v>82000</v>
      </c>
    </row>
    <row r="18" spans="2:2" x14ac:dyDescent="0.3">
      <c r="B18" s="48">
        <v>185000</v>
      </c>
    </row>
    <row r="19" spans="2:2" x14ac:dyDescent="0.3">
      <c r="B19" s="48">
        <v>89500</v>
      </c>
    </row>
    <row r="20" spans="2:2" x14ac:dyDescent="0.3">
      <c r="B20" s="48">
        <v>91500</v>
      </c>
    </row>
    <row r="21" spans="2:2" x14ac:dyDescent="0.3">
      <c r="B21" s="48">
        <v>113500</v>
      </c>
    </row>
    <row r="22" spans="2:2" x14ac:dyDescent="0.3">
      <c r="B22" s="48">
        <v>99000</v>
      </c>
    </row>
    <row r="23" spans="2:2" x14ac:dyDescent="0.3">
      <c r="B23" s="48">
        <v>75500</v>
      </c>
    </row>
    <row r="24" spans="2:2" x14ac:dyDescent="0.3">
      <c r="B24" s="48">
        <v>86000</v>
      </c>
    </row>
    <row r="25" spans="2:2" x14ac:dyDescent="0.3">
      <c r="B25" s="48">
        <v>156500</v>
      </c>
    </row>
    <row r="26" spans="2:2" x14ac:dyDescent="0.3">
      <c r="B26" s="48">
        <v>99500</v>
      </c>
    </row>
    <row r="27" spans="2:2" x14ac:dyDescent="0.3">
      <c r="B27" s="48">
        <v>148000</v>
      </c>
    </row>
    <row r="28" spans="2:2" x14ac:dyDescent="0.3">
      <c r="B28" s="48">
        <v>82000</v>
      </c>
    </row>
    <row r="29" spans="2:2" x14ac:dyDescent="0.3">
      <c r="B29" s="48">
        <v>103500</v>
      </c>
    </row>
    <row r="30" spans="2:2" x14ac:dyDescent="0.3">
      <c r="B30" s="48">
        <v>205500</v>
      </c>
    </row>
    <row r="31" spans="2:2" x14ac:dyDescent="0.3">
      <c r="B31" s="48">
        <v>103500</v>
      </c>
    </row>
    <row r="32" spans="2:2" x14ac:dyDescent="0.3">
      <c r="B32" s="48">
        <v>340000</v>
      </c>
    </row>
    <row r="33" spans="2:2" x14ac:dyDescent="0.3">
      <c r="B33" s="48">
        <v>103500</v>
      </c>
    </row>
    <row r="34" spans="2:2" x14ac:dyDescent="0.3">
      <c r="B34" s="48">
        <v>99500</v>
      </c>
    </row>
    <row r="35" spans="2:2" x14ac:dyDescent="0.3">
      <c r="B35" s="48">
        <v>103000</v>
      </c>
    </row>
    <row r="36" spans="2:2" x14ac:dyDescent="0.3">
      <c r="B36" s="48">
        <v>103500</v>
      </c>
    </row>
    <row r="37" spans="2:2" x14ac:dyDescent="0.3">
      <c r="B37" s="48">
        <v>165000</v>
      </c>
    </row>
    <row r="38" spans="2:2" x14ac:dyDescent="0.3">
      <c r="B38" s="48">
        <v>124500</v>
      </c>
    </row>
    <row r="39" spans="2:2" x14ac:dyDescent="0.3">
      <c r="B39" s="48">
        <v>103500</v>
      </c>
    </row>
    <row r="40" spans="2:2" x14ac:dyDescent="0.3">
      <c r="B40" s="48">
        <v>82500</v>
      </c>
    </row>
    <row r="41" spans="2:2" x14ac:dyDescent="0.3">
      <c r="B41" s="48">
        <v>93000</v>
      </c>
    </row>
    <row r="42" spans="2:2" x14ac:dyDescent="0.3">
      <c r="B42" s="48">
        <v>168000</v>
      </c>
    </row>
    <row r="43" spans="2:2" x14ac:dyDescent="0.3">
      <c r="B43" s="48">
        <v>96000</v>
      </c>
    </row>
    <row r="44" spans="2:2" x14ac:dyDescent="0.3">
      <c r="B44" s="48">
        <v>80000</v>
      </c>
    </row>
    <row r="45" spans="2:2" x14ac:dyDescent="0.3">
      <c r="B45" s="48">
        <v>124500</v>
      </c>
    </row>
    <row r="46" spans="2:2" x14ac:dyDescent="0.3">
      <c r="B46" s="48">
        <v>99000</v>
      </c>
    </row>
    <row r="47" spans="2:2" x14ac:dyDescent="0.3">
      <c r="B47" s="48">
        <v>124000</v>
      </c>
    </row>
    <row r="48" spans="2:2" x14ac:dyDescent="0.3">
      <c r="B48" s="48">
        <v>91500</v>
      </c>
    </row>
    <row r="49" spans="2:2" x14ac:dyDescent="0.3">
      <c r="B49" s="48">
        <v>144500</v>
      </c>
    </row>
    <row r="50" spans="2:2" x14ac:dyDescent="0.3">
      <c r="B50" s="48">
        <v>114500</v>
      </c>
    </row>
    <row r="51" spans="2:2" x14ac:dyDescent="0.3">
      <c r="B51" s="48">
        <v>104500</v>
      </c>
    </row>
    <row r="52" spans="2:2" x14ac:dyDescent="0.3">
      <c r="B52" s="48">
        <v>124000</v>
      </c>
    </row>
    <row r="53" spans="2:2" x14ac:dyDescent="0.3">
      <c r="B53" s="48">
        <v>113000</v>
      </c>
    </row>
    <row r="54" spans="2:2" x14ac:dyDescent="0.3">
      <c r="B54" s="48">
        <v>78000</v>
      </c>
    </row>
    <row r="55" spans="2:2" x14ac:dyDescent="0.3">
      <c r="B55" s="48">
        <v>109000</v>
      </c>
    </row>
    <row r="56" spans="2:2" x14ac:dyDescent="0.3">
      <c r="B56" s="48">
        <v>99500</v>
      </c>
    </row>
    <row r="57" spans="2:2" x14ac:dyDescent="0.3">
      <c r="B57" s="48">
        <v>107000</v>
      </c>
    </row>
    <row r="58" spans="2:2" x14ac:dyDescent="0.3">
      <c r="B58" s="48">
        <v>84000</v>
      </c>
    </row>
  </sheetData>
  <mergeCells count="6">
    <mergeCell ref="D5:E5"/>
    <mergeCell ref="G5:J5"/>
    <mergeCell ref="L5:M5"/>
    <mergeCell ref="O5:P5"/>
    <mergeCell ref="R6:R11"/>
    <mergeCell ref="D10:E10"/>
  </mergeCells>
  <dataValidations count="2">
    <dataValidation type="list" allowBlank="1" showInputMessage="1" showErrorMessage="1" sqref="I6" xr:uid="{2D256431-193E-4E41-B852-380DAD55F07E}">
      <formula1>$U$5:$U$7</formula1>
    </dataValidation>
    <dataValidation type="list" allowBlank="1" showInputMessage="1" showErrorMessage="1" sqref="I7" xr:uid="{EE0B3F31-4628-407D-AE5C-832FA452A00F}">
      <formula1>$V$5:$V$7</formula1>
    </dataValidation>
  </dataValidation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BBAFD-FDE3-4F5E-A143-E2DFD6E90F93}">
  <sheetPr codeName="Sheet46">
    <tabColor theme="7" tint="0.59999389629810485"/>
  </sheetPr>
  <dimension ref="B1:X100"/>
  <sheetViews>
    <sheetView showGridLines="0" topLeftCell="E1" workbookViewId="0">
      <selection activeCell="U12" sqref="U12"/>
    </sheetView>
  </sheetViews>
  <sheetFormatPr defaultRowHeight="14.4" x14ac:dyDescent="0.3"/>
  <cols>
    <col min="1" max="1" width="2.88671875" customWidth="1"/>
    <col min="2" max="2" width="11.44140625" customWidth="1"/>
    <col min="3" max="3" width="21.44140625" customWidth="1"/>
    <col min="4" max="4" width="20" customWidth="1"/>
    <col min="5" max="5" width="11.44140625" customWidth="1"/>
    <col min="7" max="7" width="6.5546875" customWidth="1"/>
    <col min="8" max="8" width="5.44140625" bestFit="1" customWidth="1"/>
    <col min="9" max="9" width="2.88671875" customWidth="1"/>
    <col min="12" max="12" width="11.44140625" customWidth="1"/>
    <col min="15" max="15" width="12.109375" customWidth="1"/>
    <col min="16" max="16" width="11.44140625" customWidth="1"/>
    <col min="18" max="18" width="15.6640625" bestFit="1" customWidth="1"/>
    <col min="21" max="21" width="57.109375" customWidth="1"/>
    <col min="23" max="24" width="0" hidden="1" customWidth="1"/>
  </cols>
  <sheetData>
    <row r="1" spans="2:24" ht="25.5" customHeight="1" x14ac:dyDescent="0.35">
      <c r="B1" s="17" t="s">
        <v>279</v>
      </c>
    </row>
    <row r="2" spans="2:24" ht="15" customHeight="1" x14ac:dyDescent="0.3">
      <c r="B2" s="27" t="s">
        <v>197</v>
      </c>
    </row>
    <row r="3" spans="2:24" ht="18" customHeight="1" x14ac:dyDescent="0.3"/>
    <row r="4" spans="2:24" x14ac:dyDescent="0.3">
      <c r="G4" s="3"/>
      <c r="O4" s="3"/>
      <c r="R4" s="3"/>
    </row>
    <row r="5" spans="2:24" x14ac:dyDescent="0.3">
      <c r="B5" s="36" t="s">
        <v>19</v>
      </c>
      <c r="C5" s="39" t="s">
        <v>21</v>
      </c>
      <c r="D5" s="39" t="s">
        <v>22</v>
      </c>
      <c r="E5" s="37" t="s">
        <v>158</v>
      </c>
      <c r="G5" s="110" t="s">
        <v>181</v>
      </c>
      <c r="H5" s="110"/>
      <c r="I5" s="110"/>
      <c r="J5" s="110"/>
      <c r="L5" s="110" t="s">
        <v>183</v>
      </c>
      <c r="M5" s="110"/>
      <c r="O5" s="108" t="s">
        <v>128</v>
      </c>
      <c r="P5" s="108"/>
      <c r="R5" s="108" t="s">
        <v>186</v>
      </c>
      <c r="S5" s="108"/>
      <c r="U5" s="45" t="s">
        <v>185</v>
      </c>
      <c r="W5" t="s">
        <v>180</v>
      </c>
      <c r="X5" s="86" t="s">
        <v>182</v>
      </c>
    </row>
    <row r="6" spans="2:24" ht="15.6" x14ac:dyDescent="0.35">
      <c r="B6" s="8">
        <v>1</v>
      </c>
      <c r="C6" s="8">
        <v>252</v>
      </c>
      <c r="D6" s="8">
        <v>276</v>
      </c>
      <c r="E6" s="8">
        <f>D6-C6</f>
        <v>24</v>
      </c>
      <c r="G6" s="19" t="s">
        <v>177</v>
      </c>
      <c r="H6" s="83" t="s">
        <v>198</v>
      </c>
      <c r="I6" s="83" t="s">
        <v>276</v>
      </c>
      <c r="J6" s="84">
        <v>50</v>
      </c>
      <c r="L6" s="19" t="s">
        <v>132</v>
      </c>
      <c r="M6" s="65">
        <v>0.02</v>
      </c>
      <c r="O6" s="19" t="s">
        <v>63</v>
      </c>
      <c r="P6" s="65">
        <f>COUNT(E6:E100)</f>
        <v>95</v>
      </c>
      <c r="R6" s="19" t="s">
        <v>135</v>
      </c>
      <c r="S6" s="69">
        <f>P8/SQRT(P6)</f>
        <v>3.0425395986393706</v>
      </c>
      <c r="U6" s="112" t="s">
        <v>319</v>
      </c>
      <c r="W6" t="s">
        <v>191</v>
      </c>
      <c r="X6" s="86" t="s">
        <v>192</v>
      </c>
    </row>
    <row r="7" spans="2:24" ht="15.6" x14ac:dyDescent="0.35">
      <c r="B7" s="8">
        <v>2</v>
      </c>
      <c r="C7" s="8">
        <v>423</v>
      </c>
      <c r="D7" s="8">
        <v>410</v>
      </c>
      <c r="E7" s="8">
        <f t="shared" ref="E7:E70" si="0">D7-C7</f>
        <v>-13</v>
      </c>
      <c r="G7" s="19" t="s">
        <v>178</v>
      </c>
      <c r="H7" s="83" t="s">
        <v>198</v>
      </c>
      <c r="I7" s="83" t="s">
        <v>277</v>
      </c>
      <c r="J7" s="84">
        <v>50</v>
      </c>
      <c r="L7" s="19"/>
      <c r="M7" s="1"/>
      <c r="O7" s="19" t="s">
        <v>41</v>
      </c>
      <c r="P7" s="66">
        <f>AVERAGE(E6:E100)</f>
        <v>49.442105263157892</v>
      </c>
      <c r="R7" s="19" t="s">
        <v>184</v>
      </c>
      <c r="S7" s="85">
        <f>(P7-J6)/S6</f>
        <v>-0.18336482361366796</v>
      </c>
      <c r="U7" s="112"/>
      <c r="W7" t="s">
        <v>276</v>
      </c>
      <c r="X7" t="s">
        <v>277</v>
      </c>
    </row>
    <row r="8" spans="2:24" x14ac:dyDescent="0.3">
      <c r="B8" s="8">
        <v>3</v>
      </c>
      <c r="C8" s="8">
        <v>101</v>
      </c>
      <c r="D8" s="8">
        <v>119</v>
      </c>
      <c r="E8" s="8">
        <f t="shared" si="0"/>
        <v>18</v>
      </c>
      <c r="G8" s="19"/>
      <c r="H8" s="32"/>
      <c r="I8" s="32"/>
      <c r="J8" s="32"/>
      <c r="O8" s="19" t="s">
        <v>62</v>
      </c>
      <c r="P8" s="69">
        <f>_xlfn.STDEV.S(E6:E100)</f>
        <v>29.655007753875548</v>
      </c>
      <c r="R8" s="19" t="s">
        <v>189</v>
      </c>
      <c r="S8" s="64">
        <f>_xlfn.T.DIST(S7,P6-1,TRUE)</f>
        <v>0.42745335670268647</v>
      </c>
      <c r="U8" s="112"/>
    </row>
    <row r="9" spans="2:24" x14ac:dyDescent="0.3">
      <c r="B9" s="8">
        <v>4</v>
      </c>
      <c r="C9" s="8">
        <v>288</v>
      </c>
      <c r="D9" s="8">
        <v>334</v>
      </c>
      <c r="E9" s="8">
        <f t="shared" si="0"/>
        <v>46</v>
      </c>
      <c r="G9" s="19"/>
      <c r="H9" s="33"/>
      <c r="I9" s="33"/>
      <c r="J9" s="33"/>
      <c r="U9" s="112"/>
    </row>
    <row r="10" spans="2:24" x14ac:dyDescent="0.3">
      <c r="B10" s="8">
        <v>5</v>
      </c>
      <c r="C10" s="8">
        <v>248</v>
      </c>
      <c r="D10" s="8">
        <v>252</v>
      </c>
      <c r="E10" s="8">
        <f t="shared" si="0"/>
        <v>4</v>
      </c>
      <c r="G10" s="19"/>
      <c r="H10" s="20"/>
      <c r="I10" s="20"/>
      <c r="J10" s="20"/>
      <c r="U10" s="112"/>
    </row>
    <row r="11" spans="2:24" x14ac:dyDescent="0.3">
      <c r="B11" s="8">
        <v>6</v>
      </c>
      <c r="C11" s="8">
        <v>145</v>
      </c>
      <c r="D11" s="8">
        <v>209</v>
      </c>
      <c r="E11" s="8">
        <f t="shared" si="0"/>
        <v>64</v>
      </c>
      <c r="G11" s="19"/>
      <c r="H11" s="20"/>
      <c r="I11" s="20"/>
      <c r="J11" s="20"/>
      <c r="U11" s="112"/>
    </row>
    <row r="12" spans="2:24" x14ac:dyDescent="0.3">
      <c r="B12" s="8">
        <v>7</v>
      </c>
      <c r="C12" s="8">
        <v>401</v>
      </c>
      <c r="D12" s="8">
        <v>462</v>
      </c>
      <c r="E12" s="8">
        <f t="shared" si="0"/>
        <v>61</v>
      </c>
    </row>
    <row r="13" spans="2:24" x14ac:dyDescent="0.3">
      <c r="B13" s="8">
        <v>8</v>
      </c>
      <c r="C13" s="8">
        <v>287</v>
      </c>
      <c r="D13" s="8">
        <v>342</v>
      </c>
      <c r="E13" s="8">
        <f t="shared" si="0"/>
        <v>55</v>
      </c>
    </row>
    <row r="14" spans="2:24" x14ac:dyDescent="0.3">
      <c r="B14" s="8">
        <v>9</v>
      </c>
      <c r="C14" s="8">
        <v>275</v>
      </c>
      <c r="D14" s="8">
        <v>347</v>
      </c>
      <c r="E14" s="8">
        <f t="shared" si="0"/>
        <v>72</v>
      </c>
    </row>
    <row r="15" spans="2:24" x14ac:dyDescent="0.3">
      <c r="B15" s="8">
        <v>10</v>
      </c>
      <c r="C15" s="8">
        <v>254</v>
      </c>
      <c r="D15" s="8">
        <v>313</v>
      </c>
      <c r="E15" s="8">
        <f t="shared" si="0"/>
        <v>59</v>
      </c>
    </row>
    <row r="16" spans="2:24" x14ac:dyDescent="0.3">
      <c r="B16" s="8">
        <v>11</v>
      </c>
      <c r="C16" s="8">
        <v>182</v>
      </c>
      <c r="D16" s="8">
        <v>232</v>
      </c>
      <c r="E16" s="8">
        <f t="shared" si="0"/>
        <v>50</v>
      </c>
    </row>
    <row r="17" spans="2:5" x14ac:dyDescent="0.3">
      <c r="B17" s="8">
        <v>12</v>
      </c>
      <c r="C17" s="8">
        <v>117</v>
      </c>
      <c r="D17" s="8">
        <v>163</v>
      </c>
      <c r="E17" s="8">
        <f t="shared" si="0"/>
        <v>46</v>
      </c>
    </row>
    <row r="18" spans="2:5" x14ac:dyDescent="0.3">
      <c r="B18" s="8">
        <v>13</v>
      </c>
      <c r="C18" s="8">
        <v>130</v>
      </c>
      <c r="D18" s="8">
        <v>119</v>
      </c>
      <c r="E18" s="8">
        <f t="shared" si="0"/>
        <v>-11</v>
      </c>
    </row>
    <row r="19" spans="2:5" x14ac:dyDescent="0.3">
      <c r="B19" s="8">
        <v>14</v>
      </c>
      <c r="C19" s="8">
        <v>219</v>
      </c>
      <c r="D19" s="8">
        <v>304</v>
      </c>
      <c r="E19" s="8">
        <f t="shared" si="0"/>
        <v>85</v>
      </c>
    </row>
    <row r="20" spans="2:5" x14ac:dyDescent="0.3">
      <c r="B20" s="8">
        <v>15</v>
      </c>
      <c r="C20" s="8">
        <v>152</v>
      </c>
      <c r="D20" s="8">
        <v>211</v>
      </c>
      <c r="E20" s="8">
        <f t="shared" si="0"/>
        <v>59</v>
      </c>
    </row>
    <row r="21" spans="2:5" x14ac:dyDescent="0.3">
      <c r="B21" s="8">
        <v>16</v>
      </c>
      <c r="C21" s="8">
        <v>228</v>
      </c>
      <c r="D21" s="8">
        <v>286</v>
      </c>
      <c r="E21" s="8">
        <f t="shared" si="0"/>
        <v>58</v>
      </c>
    </row>
    <row r="22" spans="2:5" x14ac:dyDescent="0.3">
      <c r="B22" s="8">
        <v>17</v>
      </c>
      <c r="C22" s="8">
        <v>62</v>
      </c>
      <c r="D22" s="8">
        <v>122</v>
      </c>
      <c r="E22" s="8">
        <f t="shared" si="0"/>
        <v>60</v>
      </c>
    </row>
    <row r="23" spans="2:5" x14ac:dyDescent="0.3">
      <c r="B23" s="8">
        <v>18</v>
      </c>
      <c r="C23" s="8">
        <v>393</v>
      </c>
      <c r="D23" s="8">
        <v>443</v>
      </c>
      <c r="E23" s="8">
        <f t="shared" si="0"/>
        <v>50</v>
      </c>
    </row>
    <row r="24" spans="2:5" x14ac:dyDescent="0.3">
      <c r="B24" s="8">
        <v>19</v>
      </c>
      <c r="C24" s="8">
        <v>277</v>
      </c>
      <c r="D24" s="8">
        <v>366</v>
      </c>
      <c r="E24" s="8">
        <f t="shared" si="0"/>
        <v>89</v>
      </c>
    </row>
    <row r="25" spans="2:5" x14ac:dyDescent="0.3">
      <c r="B25" s="8">
        <v>20</v>
      </c>
      <c r="C25" s="8">
        <v>206</v>
      </c>
      <c r="D25" s="8">
        <v>244</v>
      </c>
      <c r="E25" s="8">
        <f t="shared" si="0"/>
        <v>38</v>
      </c>
    </row>
    <row r="26" spans="2:5" x14ac:dyDescent="0.3">
      <c r="B26" s="8">
        <v>21</v>
      </c>
      <c r="C26" s="8">
        <v>229</v>
      </c>
      <c r="D26" s="8">
        <v>241</v>
      </c>
      <c r="E26" s="8">
        <f t="shared" si="0"/>
        <v>12</v>
      </c>
    </row>
    <row r="27" spans="2:5" x14ac:dyDescent="0.3">
      <c r="B27" s="8">
        <v>22</v>
      </c>
      <c r="C27" s="8">
        <v>182</v>
      </c>
      <c r="D27" s="8">
        <v>237</v>
      </c>
      <c r="E27" s="8">
        <f t="shared" si="0"/>
        <v>55</v>
      </c>
    </row>
    <row r="28" spans="2:5" x14ac:dyDescent="0.3">
      <c r="B28" s="8">
        <v>23</v>
      </c>
      <c r="C28" s="8">
        <v>98</v>
      </c>
      <c r="D28" s="8">
        <v>122</v>
      </c>
      <c r="E28" s="8">
        <f t="shared" si="0"/>
        <v>24</v>
      </c>
    </row>
    <row r="29" spans="2:5" x14ac:dyDescent="0.3">
      <c r="B29" s="8">
        <v>24</v>
      </c>
      <c r="C29" s="8">
        <v>125</v>
      </c>
      <c r="D29" s="8">
        <v>129</v>
      </c>
      <c r="E29" s="8">
        <f t="shared" si="0"/>
        <v>4</v>
      </c>
    </row>
    <row r="30" spans="2:5" x14ac:dyDescent="0.3">
      <c r="B30" s="8">
        <v>25</v>
      </c>
      <c r="C30" s="8">
        <v>164</v>
      </c>
      <c r="D30" s="8">
        <v>236</v>
      </c>
      <c r="E30" s="8">
        <f t="shared" si="0"/>
        <v>72</v>
      </c>
    </row>
    <row r="31" spans="2:5" x14ac:dyDescent="0.3">
      <c r="B31" s="8">
        <v>26</v>
      </c>
      <c r="C31" s="8">
        <v>186</v>
      </c>
      <c r="D31" s="8">
        <v>251</v>
      </c>
      <c r="E31" s="8">
        <f t="shared" si="0"/>
        <v>65</v>
      </c>
    </row>
    <row r="32" spans="2:5" x14ac:dyDescent="0.3">
      <c r="B32" s="8">
        <v>27</v>
      </c>
      <c r="C32" s="8">
        <v>235</v>
      </c>
      <c r="D32" s="8">
        <v>283</v>
      </c>
      <c r="E32" s="8">
        <f t="shared" si="0"/>
        <v>48</v>
      </c>
    </row>
    <row r="33" spans="2:5" x14ac:dyDescent="0.3">
      <c r="B33" s="8">
        <v>28</v>
      </c>
      <c r="C33" s="8">
        <v>184</v>
      </c>
      <c r="D33" s="8">
        <v>225</v>
      </c>
      <c r="E33" s="8">
        <f t="shared" si="0"/>
        <v>41</v>
      </c>
    </row>
    <row r="34" spans="2:5" x14ac:dyDescent="0.3">
      <c r="B34" s="8">
        <v>29</v>
      </c>
      <c r="C34" s="8">
        <v>76</v>
      </c>
      <c r="D34" s="8">
        <v>102</v>
      </c>
      <c r="E34" s="8">
        <f t="shared" si="0"/>
        <v>26</v>
      </c>
    </row>
    <row r="35" spans="2:5" x14ac:dyDescent="0.3">
      <c r="B35" s="8">
        <v>30</v>
      </c>
      <c r="C35" s="8">
        <v>126</v>
      </c>
      <c r="D35" s="8">
        <v>180</v>
      </c>
      <c r="E35" s="8">
        <f t="shared" si="0"/>
        <v>54</v>
      </c>
    </row>
    <row r="36" spans="2:5" x14ac:dyDescent="0.3">
      <c r="B36" s="8">
        <v>31</v>
      </c>
      <c r="C36" s="8">
        <v>183</v>
      </c>
      <c r="D36" s="8">
        <v>247</v>
      </c>
      <c r="E36" s="8">
        <f t="shared" si="0"/>
        <v>64</v>
      </c>
    </row>
    <row r="37" spans="2:5" x14ac:dyDescent="0.3">
      <c r="B37" s="8">
        <v>32</v>
      </c>
      <c r="C37" s="8">
        <v>242</v>
      </c>
      <c r="D37" s="8">
        <v>343</v>
      </c>
      <c r="E37" s="8">
        <f t="shared" si="0"/>
        <v>101</v>
      </c>
    </row>
    <row r="38" spans="2:5" x14ac:dyDescent="0.3">
      <c r="B38" s="8">
        <v>33</v>
      </c>
      <c r="C38" s="8">
        <v>207</v>
      </c>
      <c r="D38" s="8">
        <v>283</v>
      </c>
      <c r="E38" s="8">
        <f t="shared" si="0"/>
        <v>76</v>
      </c>
    </row>
    <row r="39" spans="2:5" x14ac:dyDescent="0.3">
      <c r="B39" s="8">
        <v>34</v>
      </c>
      <c r="C39" s="8">
        <v>181</v>
      </c>
      <c r="D39" s="8">
        <v>253</v>
      </c>
      <c r="E39" s="8">
        <f t="shared" si="0"/>
        <v>72</v>
      </c>
    </row>
    <row r="40" spans="2:5" x14ac:dyDescent="0.3">
      <c r="B40" s="8">
        <v>35</v>
      </c>
      <c r="C40" s="8">
        <v>239</v>
      </c>
      <c r="D40" s="8">
        <v>263</v>
      </c>
      <c r="E40" s="8">
        <f t="shared" si="0"/>
        <v>24</v>
      </c>
    </row>
    <row r="41" spans="2:5" x14ac:dyDescent="0.3">
      <c r="B41" s="8">
        <v>36</v>
      </c>
      <c r="C41" s="8">
        <v>216</v>
      </c>
      <c r="D41" s="8">
        <v>291</v>
      </c>
      <c r="E41" s="8">
        <f t="shared" si="0"/>
        <v>75</v>
      </c>
    </row>
    <row r="42" spans="2:5" x14ac:dyDescent="0.3">
      <c r="B42" s="8">
        <v>37</v>
      </c>
      <c r="C42" s="8">
        <v>289</v>
      </c>
      <c r="D42" s="8">
        <v>368</v>
      </c>
      <c r="E42" s="8">
        <f t="shared" si="0"/>
        <v>79</v>
      </c>
    </row>
    <row r="43" spans="2:5" x14ac:dyDescent="0.3">
      <c r="B43" s="8">
        <v>38</v>
      </c>
      <c r="C43" s="8">
        <v>213</v>
      </c>
      <c r="D43" s="8">
        <v>206</v>
      </c>
      <c r="E43" s="8">
        <f t="shared" si="0"/>
        <v>-7</v>
      </c>
    </row>
    <row r="44" spans="2:5" x14ac:dyDescent="0.3">
      <c r="B44" s="8">
        <v>39</v>
      </c>
      <c r="C44" s="8">
        <v>209</v>
      </c>
      <c r="D44" s="8">
        <v>231</v>
      </c>
      <c r="E44" s="8">
        <f t="shared" si="0"/>
        <v>22</v>
      </c>
    </row>
    <row r="45" spans="2:5" x14ac:dyDescent="0.3">
      <c r="B45" s="8">
        <v>40</v>
      </c>
      <c r="C45" s="8">
        <v>376</v>
      </c>
      <c r="D45" s="8">
        <v>389</v>
      </c>
      <c r="E45" s="8">
        <f t="shared" si="0"/>
        <v>13</v>
      </c>
    </row>
    <row r="46" spans="2:5" x14ac:dyDescent="0.3">
      <c r="B46" s="8">
        <v>41</v>
      </c>
      <c r="C46" s="8">
        <v>332</v>
      </c>
      <c r="D46" s="8">
        <v>396</v>
      </c>
      <c r="E46" s="8">
        <f t="shared" si="0"/>
        <v>64</v>
      </c>
    </row>
    <row r="47" spans="2:5" x14ac:dyDescent="0.3">
      <c r="B47" s="8">
        <v>42</v>
      </c>
      <c r="C47" s="8">
        <v>249</v>
      </c>
      <c r="D47" s="8">
        <v>339</v>
      </c>
      <c r="E47" s="8">
        <f t="shared" si="0"/>
        <v>90</v>
      </c>
    </row>
    <row r="48" spans="2:5" x14ac:dyDescent="0.3">
      <c r="B48" s="8">
        <v>43</v>
      </c>
      <c r="C48" s="8">
        <v>228</v>
      </c>
      <c r="D48" s="8">
        <v>286</v>
      </c>
      <c r="E48" s="8">
        <f t="shared" si="0"/>
        <v>58</v>
      </c>
    </row>
    <row r="49" spans="2:5" x14ac:dyDescent="0.3">
      <c r="B49" s="8">
        <v>44</v>
      </c>
      <c r="C49" s="8">
        <v>124</v>
      </c>
      <c r="D49" s="8">
        <v>146</v>
      </c>
      <c r="E49" s="8">
        <f t="shared" si="0"/>
        <v>22</v>
      </c>
    </row>
    <row r="50" spans="2:5" x14ac:dyDescent="0.3">
      <c r="B50" s="8">
        <v>45</v>
      </c>
      <c r="C50" s="8">
        <v>194</v>
      </c>
      <c r="D50" s="8">
        <v>315</v>
      </c>
      <c r="E50" s="8">
        <f t="shared" si="0"/>
        <v>121</v>
      </c>
    </row>
    <row r="51" spans="2:5" x14ac:dyDescent="0.3">
      <c r="B51" s="8">
        <v>46</v>
      </c>
      <c r="C51" s="8">
        <v>157</v>
      </c>
      <c r="D51" s="8">
        <v>183</v>
      </c>
      <c r="E51" s="8">
        <f t="shared" si="0"/>
        <v>26</v>
      </c>
    </row>
    <row r="52" spans="2:5" x14ac:dyDescent="0.3">
      <c r="B52" s="8">
        <v>47</v>
      </c>
      <c r="C52" s="8">
        <v>402</v>
      </c>
      <c r="D52" s="8">
        <v>481</v>
      </c>
      <c r="E52" s="8">
        <f t="shared" si="0"/>
        <v>79</v>
      </c>
    </row>
    <row r="53" spans="2:5" x14ac:dyDescent="0.3">
      <c r="B53" s="8">
        <v>48</v>
      </c>
      <c r="C53" s="8">
        <v>323</v>
      </c>
      <c r="D53" s="8">
        <v>349</v>
      </c>
      <c r="E53" s="8">
        <f t="shared" si="0"/>
        <v>26</v>
      </c>
    </row>
    <row r="54" spans="2:5" x14ac:dyDescent="0.3">
      <c r="B54" s="8">
        <v>49</v>
      </c>
      <c r="C54" s="8">
        <v>181</v>
      </c>
      <c r="D54" s="8">
        <v>225</v>
      </c>
      <c r="E54" s="8">
        <f t="shared" si="0"/>
        <v>44</v>
      </c>
    </row>
    <row r="55" spans="2:5" x14ac:dyDescent="0.3">
      <c r="B55" s="8">
        <v>50</v>
      </c>
      <c r="C55" s="8">
        <v>157</v>
      </c>
      <c r="D55" s="8">
        <v>217</v>
      </c>
      <c r="E55" s="8">
        <f t="shared" si="0"/>
        <v>60</v>
      </c>
    </row>
    <row r="56" spans="2:5" x14ac:dyDescent="0.3">
      <c r="B56" s="8">
        <v>51</v>
      </c>
      <c r="C56" s="8">
        <v>266</v>
      </c>
      <c r="D56" s="8">
        <v>353</v>
      </c>
      <c r="E56" s="8">
        <f t="shared" si="0"/>
        <v>87</v>
      </c>
    </row>
    <row r="57" spans="2:5" x14ac:dyDescent="0.3">
      <c r="B57" s="8">
        <v>52</v>
      </c>
      <c r="C57" s="8">
        <v>268</v>
      </c>
      <c r="D57" s="8">
        <v>314</v>
      </c>
      <c r="E57" s="8">
        <f t="shared" si="0"/>
        <v>46</v>
      </c>
    </row>
    <row r="58" spans="2:5" x14ac:dyDescent="0.3">
      <c r="B58" s="8">
        <v>53</v>
      </c>
      <c r="C58" s="8">
        <v>167</v>
      </c>
      <c r="D58" s="8">
        <v>247</v>
      </c>
      <c r="E58" s="8">
        <f t="shared" si="0"/>
        <v>80</v>
      </c>
    </row>
    <row r="59" spans="2:5" x14ac:dyDescent="0.3">
      <c r="B59" s="8">
        <v>54</v>
      </c>
      <c r="C59" s="8">
        <v>342</v>
      </c>
      <c r="D59" s="8">
        <v>410</v>
      </c>
      <c r="E59" s="8">
        <f t="shared" si="0"/>
        <v>68</v>
      </c>
    </row>
    <row r="60" spans="2:5" x14ac:dyDescent="0.3">
      <c r="B60" s="8">
        <v>55</v>
      </c>
      <c r="C60" s="8">
        <v>349</v>
      </c>
      <c r="D60" s="8">
        <v>395</v>
      </c>
      <c r="E60" s="8">
        <f t="shared" si="0"/>
        <v>46</v>
      </c>
    </row>
    <row r="61" spans="2:5" x14ac:dyDescent="0.3">
      <c r="B61" s="8">
        <v>56</v>
      </c>
      <c r="C61" s="8">
        <v>340</v>
      </c>
      <c r="D61" s="8">
        <v>416</v>
      </c>
      <c r="E61" s="8">
        <f t="shared" si="0"/>
        <v>76</v>
      </c>
    </row>
    <row r="62" spans="2:5" x14ac:dyDescent="0.3">
      <c r="B62" s="8">
        <v>57</v>
      </c>
      <c r="C62" s="8">
        <v>227</v>
      </c>
      <c r="D62" s="8">
        <v>342</v>
      </c>
      <c r="E62" s="8">
        <f t="shared" si="0"/>
        <v>115</v>
      </c>
    </row>
    <row r="63" spans="2:5" x14ac:dyDescent="0.3">
      <c r="B63" s="8">
        <v>58</v>
      </c>
      <c r="C63" s="8">
        <v>409</v>
      </c>
      <c r="D63" s="8">
        <v>446</v>
      </c>
      <c r="E63" s="8">
        <f t="shared" si="0"/>
        <v>37</v>
      </c>
    </row>
    <row r="64" spans="2:5" x14ac:dyDescent="0.3">
      <c r="B64" s="8">
        <v>59</v>
      </c>
      <c r="C64" s="8">
        <v>400</v>
      </c>
      <c r="D64" s="8">
        <v>477</v>
      </c>
      <c r="E64" s="8">
        <f t="shared" si="0"/>
        <v>77</v>
      </c>
    </row>
    <row r="65" spans="2:5" x14ac:dyDescent="0.3">
      <c r="B65" s="8">
        <v>60</v>
      </c>
      <c r="C65" s="8">
        <v>374</v>
      </c>
      <c r="D65" s="8">
        <v>444</v>
      </c>
      <c r="E65" s="8">
        <f t="shared" si="0"/>
        <v>70</v>
      </c>
    </row>
    <row r="66" spans="2:5" x14ac:dyDescent="0.3">
      <c r="B66" s="8">
        <v>61</v>
      </c>
      <c r="C66" s="8">
        <v>255</v>
      </c>
      <c r="D66" s="8">
        <v>351</v>
      </c>
      <c r="E66" s="8">
        <f t="shared" si="0"/>
        <v>96</v>
      </c>
    </row>
    <row r="67" spans="2:5" x14ac:dyDescent="0.3">
      <c r="B67" s="8">
        <v>62</v>
      </c>
      <c r="C67" s="8">
        <v>146</v>
      </c>
      <c r="D67" s="8">
        <v>165</v>
      </c>
      <c r="E67" s="8">
        <f t="shared" si="0"/>
        <v>19</v>
      </c>
    </row>
    <row r="68" spans="2:5" x14ac:dyDescent="0.3">
      <c r="B68" s="8">
        <v>63</v>
      </c>
      <c r="C68" s="8">
        <v>248</v>
      </c>
      <c r="D68" s="8">
        <v>317</v>
      </c>
      <c r="E68" s="8">
        <f t="shared" si="0"/>
        <v>69</v>
      </c>
    </row>
    <row r="69" spans="2:5" x14ac:dyDescent="0.3">
      <c r="B69" s="8">
        <v>64</v>
      </c>
      <c r="C69" s="8">
        <v>198</v>
      </c>
      <c r="D69" s="8">
        <v>250</v>
      </c>
      <c r="E69" s="8">
        <f t="shared" si="0"/>
        <v>52</v>
      </c>
    </row>
    <row r="70" spans="2:5" x14ac:dyDescent="0.3">
      <c r="B70" s="8">
        <v>65</v>
      </c>
      <c r="C70" s="8">
        <v>210</v>
      </c>
      <c r="D70" s="8">
        <v>217</v>
      </c>
      <c r="E70" s="8">
        <f t="shared" si="0"/>
        <v>7</v>
      </c>
    </row>
    <row r="71" spans="2:5" x14ac:dyDescent="0.3">
      <c r="B71" s="8">
        <v>66</v>
      </c>
      <c r="C71" s="8">
        <v>107</v>
      </c>
      <c r="D71" s="8">
        <v>138</v>
      </c>
      <c r="E71" s="8">
        <f t="shared" ref="E71:E100" si="1">D71-C71</f>
        <v>31</v>
      </c>
    </row>
    <row r="72" spans="2:5" x14ac:dyDescent="0.3">
      <c r="B72" s="8">
        <v>67</v>
      </c>
      <c r="C72" s="8">
        <v>239</v>
      </c>
      <c r="D72" s="8">
        <v>302</v>
      </c>
      <c r="E72" s="8">
        <f t="shared" si="1"/>
        <v>63</v>
      </c>
    </row>
    <row r="73" spans="2:5" x14ac:dyDescent="0.3">
      <c r="B73" s="8">
        <v>68</v>
      </c>
      <c r="C73" s="8">
        <v>287</v>
      </c>
      <c r="D73" s="8">
        <v>311</v>
      </c>
      <c r="E73" s="8">
        <f t="shared" si="1"/>
        <v>24</v>
      </c>
    </row>
    <row r="74" spans="2:5" x14ac:dyDescent="0.3">
      <c r="B74" s="8">
        <v>69</v>
      </c>
      <c r="C74" s="8">
        <v>340</v>
      </c>
      <c r="D74" s="8">
        <v>373</v>
      </c>
      <c r="E74" s="8">
        <f t="shared" si="1"/>
        <v>33</v>
      </c>
    </row>
    <row r="75" spans="2:5" x14ac:dyDescent="0.3">
      <c r="B75" s="8">
        <v>70</v>
      </c>
      <c r="C75" s="8">
        <v>155</v>
      </c>
      <c r="D75" s="8">
        <v>196</v>
      </c>
      <c r="E75" s="8">
        <f t="shared" si="1"/>
        <v>41</v>
      </c>
    </row>
    <row r="76" spans="2:5" x14ac:dyDescent="0.3">
      <c r="B76" s="8">
        <v>71</v>
      </c>
      <c r="C76" s="8">
        <v>263</v>
      </c>
      <c r="D76" s="8">
        <v>306</v>
      </c>
      <c r="E76" s="8">
        <f t="shared" si="1"/>
        <v>43</v>
      </c>
    </row>
    <row r="77" spans="2:5" x14ac:dyDescent="0.3">
      <c r="B77" s="8">
        <v>72</v>
      </c>
      <c r="C77" s="8">
        <v>265</v>
      </c>
      <c r="D77" s="8">
        <v>302</v>
      </c>
      <c r="E77" s="8">
        <f t="shared" si="1"/>
        <v>37</v>
      </c>
    </row>
    <row r="78" spans="2:5" x14ac:dyDescent="0.3">
      <c r="B78" s="8">
        <v>73</v>
      </c>
      <c r="C78" s="8">
        <v>249</v>
      </c>
      <c r="D78" s="8">
        <v>278</v>
      </c>
      <c r="E78" s="8">
        <f t="shared" si="1"/>
        <v>29</v>
      </c>
    </row>
    <row r="79" spans="2:5" x14ac:dyDescent="0.3">
      <c r="B79" s="8">
        <v>74</v>
      </c>
      <c r="C79" s="8">
        <v>377</v>
      </c>
      <c r="D79" s="8">
        <v>429</v>
      </c>
      <c r="E79" s="8">
        <f t="shared" si="1"/>
        <v>52</v>
      </c>
    </row>
    <row r="80" spans="2:5" x14ac:dyDescent="0.3">
      <c r="B80" s="8">
        <v>75</v>
      </c>
      <c r="C80" s="8">
        <v>301</v>
      </c>
      <c r="D80" s="8">
        <v>338</v>
      </c>
      <c r="E80" s="8">
        <f t="shared" si="1"/>
        <v>37</v>
      </c>
    </row>
    <row r="81" spans="2:5" x14ac:dyDescent="0.3">
      <c r="B81" s="8">
        <v>76</v>
      </c>
      <c r="C81" s="8">
        <v>242</v>
      </c>
      <c r="D81" s="8">
        <v>261</v>
      </c>
      <c r="E81" s="8">
        <f t="shared" si="1"/>
        <v>19</v>
      </c>
    </row>
    <row r="82" spans="2:5" x14ac:dyDescent="0.3">
      <c r="B82" s="8">
        <v>77</v>
      </c>
      <c r="C82" s="8">
        <v>211</v>
      </c>
      <c r="D82" s="8">
        <v>256</v>
      </c>
      <c r="E82" s="8">
        <f t="shared" si="1"/>
        <v>45</v>
      </c>
    </row>
    <row r="83" spans="2:5" x14ac:dyDescent="0.3">
      <c r="B83" s="8">
        <v>78</v>
      </c>
      <c r="C83" s="8">
        <v>160</v>
      </c>
      <c r="D83" s="8">
        <v>183</v>
      </c>
      <c r="E83" s="8">
        <f t="shared" si="1"/>
        <v>23</v>
      </c>
    </row>
    <row r="84" spans="2:5" x14ac:dyDescent="0.3">
      <c r="B84" s="8">
        <v>79</v>
      </c>
      <c r="C84" s="8">
        <v>218</v>
      </c>
      <c r="D84" s="8">
        <v>274</v>
      </c>
      <c r="E84" s="8">
        <f t="shared" si="1"/>
        <v>56</v>
      </c>
    </row>
    <row r="85" spans="2:5" x14ac:dyDescent="0.3">
      <c r="B85" s="8">
        <v>80</v>
      </c>
      <c r="C85" s="8">
        <v>133</v>
      </c>
      <c r="D85" s="8">
        <v>182</v>
      </c>
      <c r="E85" s="8">
        <f t="shared" si="1"/>
        <v>49</v>
      </c>
    </row>
    <row r="86" spans="2:5" x14ac:dyDescent="0.3">
      <c r="B86" s="8">
        <v>81</v>
      </c>
      <c r="C86" s="8">
        <v>122</v>
      </c>
      <c r="D86" s="8">
        <v>183</v>
      </c>
      <c r="E86" s="8">
        <f t="shared" si="1"/>
        <v>61</v>
      </c>
    </row>
    <row r="87" spans="2:5" x14ac:dyDescent="0.3">
      <c r="B87" s="8">
        <v>82</v>
      </c>
      <c r="C87" s="8">
        <v>236</v>
      </c>
      <c r="D87" s="8">
        <v>309</v>
      </c>
      <c r="E87" s="8">
        <f t="shared" si="1"/>
        <v>73</v>
      </c>
    </row>
    <row r="88" spans="2:5" x14ac:dyDescent="0.3">
      <c r="B88" s="8">
        <v>83</v>
      </c>
      <c r="C88" s="8">
        <v>143</v>
      </c>
      <c r="D88" s="8">
        <v>178</v>
      </c>
      <c r="E88" s="8">
        <f t="shared" si="1"/>
        <v>35</v>
      </c>
    </row>
    <row r="89" spans="2:5" x14ac:dyDescent="0.3">
      <c r="B89" s="8">
        <v>84</v>
      </c>
      <c r="C89" s="8">
        <v>354</v>
      </c>
      <c r="D89" s="8">
        <v>458</v>
      </c>
      <c r="E89" s="8">
        <f t="shared" si="1"/>
        <v>104</v>
      </c>
    </row>
    <row r="90" spans="2:5" x14ac:dyDescent="0.3">
      <c r="B90" s="8">
        <v>85</v>
      </c>
      <c r="C90" s="8">
        <v>214</v>
      </c>
      <c r="D90" s="8">
        <v>234</v>
      </c>
      <c r="E90" s="8">
        <f t="shared" si="1"/>
        <v>20</v>
      </c>
    </row>
    <row r="91" spans="2:5" x14ac:dyDescent="0.3">
      <c r="B91" s="8">
        <v>86</v>
      </c>
      <c r="C91" s="8">
        <v>225</v>
      </c>
      <c r="D91" s="8">
        <v>306</v>
      </c>
      <c r="E91" s="8">
        <f t="shared" si="1"/>
        <v>81</v>
      </c>
    </row>
    <row r="92" spans="2:5" x14ac:dyDescent="0.3">
      <c r="B92" s="8">
        <v>87</v>
      </c>
      <c r="C92" s="8">
        <v>261</v>
      </c>
      <c r="D92" s="8">
        <v>400</v>
      </c>
      <c r="E92" s="8">
        <f t="shared" si="1"/>
        <v>139</v>
      </c>
    </row>
    <row r="93" spans="2:5" x14ac:dyDescent="0.3">
      <c r="B93" s="8">
        <v>88</v>
      </c>
      <c r="C93" s="8">
        <v>277</v>
      </c>
      <c r="D93" s="8">
        <v>337</v>
      </c>
      <c r="E93" s="8">
        <f t="shared" si="1"/>
        <v>60</v>
      </c>
    </row>
    <row r="94" spans="2:5" x14ac:dyDescent="0.3">
      <c r="B94" s="8">
        <v>89</v>
      </c>
      <c r="C94" s="8">
        <v>282</v>
      </c>
      <c r="D94" s="8">
        <v>325</v>
      </c>
      <c r="E94" s="8">
        <f t="shared" si="1"/>
        <v>43</v>
      </c>
    </row>
    <row r="95" spans="2:5" x14ac:dyDescent="0.3">
      <c r="B95" s="8">
        <v>90</v>
      </c>
      <c r="C95" s="8">
        <v>322</v>
      </c>
      <c r="D95" s="8">
        <v>329</v>
      </c>
      <c r="E95" s="8">
        <f t="shared" si="1"/>
        <v>7</v>
      </c>
    </row>
    <row r="96" spans="2:5" x14ac:dyDescent="0.3">
      <c r="B96" s="8">
        <v>91</v>
      </c>
      <c r="C96" s="8">
        <v>326</v>
      </c>
      <c r="D96" s="8">
        <v>369</v>
      </c>
      <c r="E96" s="8">
        <f t="shared" si="1"/>
        <v>43</v>
      </c>
    </row>
    <row r="97" spans="2:5" x14ac:dyDescent="0.3">
      <c r="B97" s="8">
        <v>92</v>
      </c>
      <c r="C97" s="8">
        <v>421</v>
      </c>
      <c r="D97" s="8">
        <v>457</v>
      </c>
      <c r="E97" s="8">
        <f t="shared" si="1"/>
        <v>36</v>
      </c>
    </row>
    <row r="98" spans="2:5" x14ac:dyDescent="0.3">
      <c r="B98" s="8">
        <v>93</v>
      </c>
      <c r="C98" s="8">
        <v>368</v>
      </c>
      <c r="D98" s="8">
        <v>421</v>
      </c>
      <c r="E98" s="8">
        <f t="shared" si="1"/>
        <v>53</v>
      </c>
    </row>
    <row r="99" spans="2:5" x14ac:dyDescent="0.3">
      <c r="B99" s="8">
        <v>94</v>
      </c>
      <c r="C99" s="8">
        <v>279</v>
      </c>
      <c r="D99" s="8">
        <v>282</v>
      </c>
      <c r="E99" s="8">
        <f t="shared" si="1"/>
        <v>3</v>
      </c>
    </row>
    <row r="100" spans="2:5" x14ac:dyDescent="0.3">
      <c r="B100" s="8">
        <v>95</v>
      </c>
      <c r="C100" s="8">
        <v>268</v>
      </c>
      <c r="D100" s="8">
        <v>256</v>
      </c>
      <c r="E100" s="8">
        <f t="shared" si="1"/>
        <v>-12</v>
      </c>
    </row>
  </sheetData>
  <mergeCells count="5">
    <mergeCell ref="O5:P5"/>
    <mergeCell ref="G5:J5"/>
    <mergeCell ref="L5:M5"/>
    <mergeCell ref="R5:S5"/>
    <mergeCell ref="U6:U11"/>
  </mergeCells>
  <dataValidations count="2">
    <dataValidation type="list" allowBlank="1" showInputMessage="1" showErrorMessage="1" sqref="I6" xr:uid="{B0131BD9-AE3C-428A-B166-B3EB67CBD5D9}">
      <formula1>$W$5:$W$7</formula1>
    </dataValidation>
    <dataValidation type="list" allowBlank="1" showInputMessage="1" showErrorMessage="1" sqref="I7" xr:uid="{7BDFF30B-D467-42C2-B9ED-F433BABB5E6A}">
      <formula1>$X$5:$X$7</formula1>
    </dataValidation>
  </dataValidation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6C53D-5752-4175-8D2F-8217894F78FB}">
  <sheetPr codeName="Sheet47">
    <tabColor theme="7" tint="0.59999389629810485"/>
  </sheetPr>
  <dimension ref="B1:Z58"/>
  <sheetViews>
    <sheetView showGridLines="0" topLeftCell="H1" workbookViewId="0">
      <selection activeCell="W12" sqref="W12"/>
    </sheetView>
  </sheetViews>
  <sheetFormatPr defaultRowHeight="14.4" x14ac:dyDescent="0.3"/>
  <cols>
    <col min="1" max="1" width="2.88671875" customWidth="1"/>
    <col min="2" max="2" width="15.6640625" bestFit="1" customWidth="1"/>
    <col min="3" max="3" width="12.6640625" bestFit="1" customWidth="1"/>
    <col min="5" max="5" width="15.44140625" bestFit="1" customWidth="1"/>
    <col min="6" max="7" width="14.33203125" customWidth="1"/>
    <col min="9" max="9" width="11.44140625" customWidth="1"/>
    <col min="10" max="10" width="8.109375" bestFit="1" customWidth="1"/>
    <col min="12" max="12" width="6.5546875" customWidth="1"/>
    <col min="13" max="13" width="5.44140625" bestFit="1" customWidth="1"/>
    <col min="14" max="14" width="2.88671875" customWidth="1"/>
    <col min="15" max="15" width="9.109375" customWidth="1"/>
    <col min="17" max="17" width="11.44140625" customWidth="1"/>
    <col min="20" max="20" width="21.109375" bestFit="1" customWidth="1"/>
    <col min="23" max="23" width="57.109375" customWidth="1"/>
    <col min="25" max="26" width="0" hidden="1" customWidth="1"/>
  </cols>
  <sheetData>
    <row r="1" spans="2:26" ht="25.5" customHeight="1" x14ac:dyDescent="0.35">
      <c r="B1" s="17" t="s">
        <v>200</v>
      </c>
    </row>
    <row r="2" spans="2:26" ht="15" customHeight="1" x14ac:dyDescent="0.3">
      <c r="B2" s="27" t="s">
        <v>199</v>
      </c>
    </row>
    <row r="3" spans="2:26" ht="18" customHeight="1" x14ac:dyDescent="0.3"/>
    <row r="4" spans="2:26" x14ac:dyDescent="0.3">
      <c r="E4" s="3"/>
      <c r="I4" s="3"/>
      <c r="L4" s="3"/>
      <c r="T4" s="3"/>
    </row>
    <row r="5" spans="2:26" x14ac:dyDescent="0.3">
      <c r="B5" s="39" t="s">
        <v>20</v>
      </c>
      <c r="C5" s="37" t="s">
        <v>30</v>
      </c>
      <c r="E5" s="109" t="s">
        <v>128</v>
      </c>
      <c r="F5" s="109"/>
      <c r="G5" s="109"/>
      <c r="I5" s="108" t="s">
        <v>165</v>
      </c>
      <c r="J5" s="108"/>
      <c r="L5" s="110" t="s">
        <v>181</v>
      </c>
      <c r="M5" s="110"/>
      <c r="N5" s="110"/>
      <c r="O5" s="110"/>
      <c r="Q5" s="110" t="s">
        <v>183</v>
      </c>
      <c r="R5" s="110"/>
      <c r="T5" s="108" t="s">
        <v>186</v>
      </c>
      <c r="U5" s="108"/>
      <c r="W5" s="45" t="s">
        <v>185</v>
      </c>
    </row>
    <row r="6" spans="2:26" ht="15.6" x14ac:dyDescent="0.35">
      <c r="B6" s="46" t="s">
        <v>24</v>
      </c>
      <c r="C6" s="47">
        <v>111000</v>
      </c>
      <c r="F6" s="16" t="s">
        <v>26</v>
      </c>
      <c r="G6" s="16" t="s">
        <v>24</v>
      </c>
      <c r="I6" s="19" t="s">
        <v>166</v>
      </c>
      <c r="J6" s="68" t="s">
        <v>322</v>
      </c>
      <c r="L6" s="19" t="s">
        <v>177</v>
      </c>
      <c r="M6" s="83" t="s">
        <v>198</v>
      </c>
      <c r="N6" s="83" t="s">
        <v>191</v>
      </c>
      <c r="O6" s="84">
        <v>0</v>
      </c>
      <c r="Q6" s="19" t="s">
        <v>132</v>
      </c>
      <c r="R6" s="65">
        <v>0.01</v>
      </c>
      <c r="T6" s="19" t="s">
        <v>135</v>
      </c>
      <c r="U6" s="74">
        <f>SQRT(F11+G11)</f>
        <v>15739.713021526155</v>
      </c>
      <c r="W6" s="112" t="s">
        <v>323</v>
      </c>
      <c r="Y6" s="89" t="s">
        <v>180</v>
      </c>
      <c r="Z6" s="86" t="s">
        <v>182</v>
      </c>
    </row>
    <row r="7" spans="2:26" ht="15.6" x14ac:dyDescent="0.35">
      <c r="B7" s="8" t="s">
        <v>26</v>
      </c>
      <c r="C7" s="12">
        <v>107000</v>
      </c>
      <c r="E7" s="19" t="s">
        <v>162</v>
      </c>
      <c r="F7" s="65">
        <v>17</v>
      </c>
      <c r="G7" s="65">
        <v>36</v>
      </c>
      <c r="L7" s="19" t="s">
        <v>178</v>
      </c>
      <c r="M7" s="83" t="s">
        <v>198</v>
      </c>
      <c r="N7" s="83" t="s">
        <v>192</v>
      </c>
      <c r="O7" s="84">
        <v>0</v>
      </c>
      <c r="Q7" s="19"/>
      <c r="R7" s="1"/>
      <c r="T7" s="19" t="s">
        <v>184</v>
      </c>
      <c r="U7" s="85">
        <v>0.49</v>
      </c>
      <c r="W7" s="112"/>
      <c r="Y7" s="86" t="s">
        <v>276</v>
      </c>
      <c r="Z7" t="s">
        <v>277</v>
      </c>
    </row>
    <row r="8" spans="2:26" x14ac:dyDescent="0.3">
      <c r="B8" s="8" t="s">
        <v>24</v>
      </c>
      <c r="C8" s="12">
        <v>109000</v>
      </c>
      <c r="E8" s="19" t="s">
        <v>170</v>
      </c>
      <c r="F8" s="65">
        <v>16</v>
      </c>
      <c r="G8" s="65">
        <v>35</v>
      </c>
      <c r="L8" s="19"/>
      <c r="M8" s="32"/>
      <c r="N8" s="32"/>
      <c r="O8" s="32"/>
      <c r="T8" s="19" t="s">
        <v>167</v>
      </c>
      <c r="U8" s="69">
        <v>22.43</v>
      </c>
      <c r="W8" s="112"/>
      <c r="Y8" s="86" t="s">
        <v>191</v>
      </c>
      <c r="Z8" t="s">
        <v>192</v>
      </c>
    </row>
    <row r="9" spans="2:26" x14ac:dyDescent="0.3">
      <c r="B9" s="8" t="s">
        <v>24</v>
      </c>
      <c r="C9" s="12">
        <v>148000</v>
      </c>
      <c r="E9" s="19" t="s">
        <v>163</v>
      </c>
      <c r="F9" s="65" t="s">
        <v>320</v>
      </c>
      <c r="G9" s="65" t="s">
        <v>321</v>
      </c>
      <c r="L9" s="19"/>
      <c r="M9" s="33"/>
      <c r="N9" s="33"/>
      <c r="O9" s="33"/>
      <c r="T9" s="19" t="s">
        <v>189</v>
      </c>
      <c r="U9" s="64">
        <f>_xlfn.T.DIST.RT(U7,U8)</f>
        <v>0.31449240186890198</v>
      </c>
      <c r="W9" s="112"/>
    </row>
    <row r="10" spans="2:26" ht="16.2" x14ac:dyDescent="0.3">
      <c r="B10" s="8" t="s">
        <v>24</v>
      </c>
      <c r="C10" s="12">
        <v>255500</v>
      </c>
      <c r="E10" s="19" t="s">
        <v>164</v>
      </c>
      <c r="F10" s="68">
        <v>3526773897</v>
      </c>
      <c r="G10" s="68">
        <v>1450125992</v>
      </c>
      <c r="L10" s="19"/>
      <c r="M10" s="20"/>
      <c r="N10" s="20"/>
      <c r="O10" s="20"/>
      <c r="W10" s="112"/>
    </row>
    <row r="11" spans="2:26" ht="16.2" x14ac:dyDescent="0.3">
      <c r="B11" s="8" t="s">
        <v>24</v>
      </c>
      <c r="C11" s="12">
        <v>103500</v>
      </c>
      <c r="E11" s="19" t="s">
        <v>169</v>
      </c>
      <c r="F11" s="68">
        <v>207457288</v>
      </c>
      <c r="G11" s="68">
        <v>40281278</v>
      </c>
      <c r="L11" s="19"/>
      <c r="M11" s="20"/>
      <c r="N11" s="20"/>
      <c r="O11" s="20"/>
      <c r="W11" s="112"/>
    </row>
    <row r="12" spans="2:26" x14ac:dyDescent="0.3">
      <c r="B12" s="8" t="s">
        <v>24</v>
      </c>
      <c r="C12" s="12">
        <v>114500</v>
      </c>
    </row>
    <row r="13" spans="2:26" x14ac:dyDescent="0.3">
      <c r="B13" s="8" t="s">
        <v>24</v>
      </c>
      <c r="C13" s="12">
        <v>124000</v>
      </c>
    </row>
    <row r="14" spans="2:26" x14ac:dyDescent="0.3">
      <c r="B14" s="8" t="s">
        <v>24</v>
      </c>
      <c r="C14" s="12">
        <v>132500</v>
      </c>
    </row>
    <row r="15" spans="2:26" x14ac:dyDescent="0.3">
      <c r="B15" s="8" t="s">
        <v>24</v>
      </c>
      <c r="C15" s="12">
        <v>99000</v>
      </c>
    </row>
    <row r="16" spans="2:26" x14ac:dyDescent="0.3">
      <c r="B16" s="8" t="s">
        <v>24</v>
      </c>
      <c r="C16" s="12">
        <v>124000</v>
      </c>
    </row>
    <row r="17" spans="2:3" x14ac:dyDescent="0.3">
      <c r="B17" s="8" t="s">
        <v>24</v>
      </c>
      <c r="C17" s="12">
        <v>82000</v>
      </c>
    </row>
    <row r="18" spans="2:3" x14ac:dyDescent="0.3">
      <c r="B18" s="8" t="s">
        <v>24</v>
      </c>
      <c r="C18" s="12">
        <v>185000</v>
      </c>
    </row>
    <row r="19" spans="2:3" x14ac:dyDescent="0.3">
      <c r="B19" s="8" t="s">
        <v>24</v>
      </c>
      <c r="C19" s="12">
        <v>89500</v>
      </c>
    </row>
    <row r="20" spans="2:3" x14ac:dyDescent="0.3">
      <c r="B20" s="8" t="s">
        <v>24</v>
      </c>
      <c r="C20" s="12">
        <v>91500</v>
      </c>
    </row>
    <row r="21" spans="2:3" x14ac:dyDescent="0.3">
      <c r="B21" s="8" t="s">
        <v>24</v>
      </c>
      <c r="C21" s="12">
        <v>113500</v>
      </c>
    </row>
    <row r="22" spans="2:3" x14ac:dyDescent="0.3">
      <c r="B22" s="8" t="s">
        <v>26</v>
      </c>
      <c r="C22" s="12">
        <v>99000</v>
      </c>
    </row>
    <row r="23" spans="2:3" x14ac:dyDescent="0.3">
      <c r="B23" s="8" t="s">
        <v>24</v>
      </c>
      <c r="C23" s="12">
        <v>75500</v>
      </c>
    </row>
    <row r="24" spans="2:3" x14ac:dyDescent="0.3">
      <c r="B24" s="8" t="s">
        <v>26</v>
      </c>
      <c r="C24" s="12">
        <v>86000</v>
      </c>
    </row>
    <row r="25" spans="2:3" x14ac:dyDescent="0.3">
      <c r="B25" s="8" t="s">
        <v>24</v>
      </c>
      <c r="C25" s="12">
        <v>156500</v>
      </c>
    </row>
    <row r="26" spans="2:3" x14ac:dyDescent="0.3">
      <c r="B26" s="8" t="s">
        <v>26</v>
      </c>
      <c r="C26" s="12">
        <v>99500</v>
      </c>
    </row>
    <row r="27" spans="2:3" x14ac:dyDescent="0.3">
      <c r="B27" s="8" t="s">
        <v>26</v>
      </c>
      <c r="C27" s="12">
        <v>148000</v>
      </c>
    </row>
    <row r="28" spans="2:3" x14ac:dyDescent="0.3">
      <c r="B28" s="8" t="s">
        <v>24</v>
      </c>
      <c r="C28" s="12">
        <v>82000</v>
      </c>
    </row>
    <row r="29" spans="2:3" x14ac:dyDescent="0.3">
      <c r="B29" s="8" t="s">
        <v>24</v>
      </c>
      <c r="C29" s="12">
        <v>103500</v>
      </c>
    </row>
    <row r="30" spans="2:3" x14ac:dyDescent="0.3">
      <c r="B30" s="8" t="s">
        <v>24</v>
      </c>
      <c r="C30" s="12">
        <v>205500</v>
      </c>
    </row>
    <row r="31" spans="2:3" x14ac:dyDescent="0.3">
      <c r="B31" s="8" t="s">
        <v>24</v>
      </c>
      <c r="C31" s="12">
        <v>103500</v>
      </c>
    </row>
    <row r="32" spans="2:3" x14ac:dyDescent="0.3">
      <c r="B32" s="8" t="s">
        <v>26</v>
      </c>
      <c r="C32" s="12">
        <v>340000</v>
      </c>
    </row>
    <row r="33" spans="2:3" x14ac:dyDescent="0.3">
      <c r="B33" s="8" t="s">
        <v>26</v>
      </c>
      <c r="C33" s="12">
        <v>103500</v>
      </c>
    </row>
    <row r="34" spans="2:3" x14ac:dyDescent="0.3">
      <c r="B34" s="8" t="s">
        <v>26</v>
      </c>
      <c r="C34" s="12">
        <v>99500</v>
      </c>
    </row>
    <row r="35" spans="2:3" x14ac:dyDescent="0.3">
      <c r="B35" s="8" t="s">
        <v>26</v>
      </c>
      <c r="C35" s="12">
        <v>103000</v>
      </c>
    </row>
    <row r="36" spans="2:3" x14ac:dyDescent="0.3">
      <c r="B36" s="8" t="s">
        <v>24</v>
      </c>
      <c r="C36" s="12">
        <v>103500</v>
      </c>
    </row>
    <row r="37" spans="2:3" x14ac:dyDescent="0.3">
      <c r="B37" s="8" t="s">
        <v>26</v>
      </c>
      <c r="C37" s="12">
        <v>165000</v>
      </c>
    </row>
    <row r="38" spans="2:3" x14ac:dyDescent="0.3">
      <c r="B38" s="8" t="s">
        <v>26</v>
      </c>
      <c r="C38" s="12">
        <v>124500</v>
      </c>
    </row>
    <row r="39" spans="2:3" x14ac:dyDescent="0.3">
      <c r="B39" s="8" t="s">
        <v>26</v>
      </c>
      <c r="C39" s="12">
        <v>103500</v>
      </c>
    </row>
    <row r="40" spans="2:3" x14ac:dyDescent="0.3">
      <c r="B40" s="8" t="s">
        <v>24</v>
      </c>
      <c r="C40" s="12">
        <v>82500</v>
      </c>
    </row>
    <row r="41" spans="2:3" x14ac:dyDescent="0.3">
      <c r="B41" s="8" t="s">
        <v>24</v>
      </c>
      <c r="C41" s="12">
        <v>93000</v>
      </c>
    </row>
    <row r="42" spans="2:3" x14ac:dyDescent="0.3">
      <c r="B42" s="8" t="s">
        <v>24</v>
      </c>
      <c r="C42" s="12">
        <v>168000</v>
      </c>
    </row>
    <row r="43" spans="2:3" x14ac:dyDescent="0.3">
      <c r="B43" s="8" t="s">
        <v>24</v>
      </c>
      <c r="C43" s="12">
        <v>96000</v>
      </c>
    </row>
    <row r="44" spans="2:3" x14ac:dyDescent="0.3">
      <c r="B44" s="8" t="s">
        <v>26</v>
      </c>
      <c r="C44" s="12">
        <v>80000</v>
      </c>
    </row>
    <row r="45" spans="2:3" x14ac:dyDescent="0.3">
      <c r="B45" s="8" t="s">
        <v>26</v>
      </c>
      <c r="C45" s="12">
        <v>124500</v>
      </c>
    </row>
    <row r="46" spans="2:3" x14ac:dyDescent="0.3">
      <c r="B46" s="8" t="s">
        <v>26</v>
      </c>
      <c r="C46" s="12">
        <v>99000</v>
      </c>
    </row>
    <row r="47" spans="2:3" x14ac:dyDescent="0.3">
      <c r="B47" s="8" t="s">
        <v>24</v>
      </c>
      <c r="C47" s="12">
        <v>124000</v>
      </c>
    </row>
    <row r="48" spans="2:3" x14ac:dyDescent="0.3">
      <c r="B48" s="8" t="s">
        <v>24</v>
      </c>
      <c r="C48" s="12">
        <v>91500</v>
      </c>
    </row>
    <row r="49" spans="2:3" x14ac:dyDescent="0.3">
      <c r="B49" s="8" t="s">
        <v>24</v>
      </c>
      <c r="C49" s="12">
        <v>144500</v>
      </c>
    </row>
    <row r="50" spans="2:3" x14ac:dyDescent="0.3">
      <c r="B50" s="8" t="s">
        <v>24</v>
      </c>
      <c r="C50" s="12">
        <v>114500</v>
      </c>
    </row>
    <row r="51" spans="2:3" x14ac:dyDescent="0.3">
      <c r="B51" s="8" t="s">
        <v>24</v>
      </c>
      <c r="C51" s="12">
        <v>104500</v>
      </c>
    </row>
    <row r="52" spans="2:3" x14ac:dyDescent="0.3">
      <c r="B52" s="8" t="s">
        <v>26</v>
      </c>
      <c r="C52" s="12">
        <v>124000</v>
      </c>
    </row>
    <row r="53" spans="2:3" x14ac:dyDescent="0.3">
      <c r="B53" s="8" t="s">
        <v>26</v>
      </c>
      <c r="C53" s="12">
        <v>113000</v>
      </c>
    </row>
    <row r="54" spans="2:3" x14ac:dyDescent="0.3">
      <c r="B54" s="8" t="s">
        <v>24</v>
      </c>
      <c r="C54" s="12">
        <v>78000</v>
      </c>
    </row>
    <row r="55" spans="2:3" x14ac:dyDescent="0.3">
      <c r="B55" s="8" t="s">
        <v>24</v>
      </c>
      <c r="C55" s="12">
        <v>109000</v>
      </c>
    </row>
    <row r="56" spans="2:3" x14ac:dyDescent="0.3">
      <c r="B56" s="8" t="s">
        <v>24</v>
      </c>
      <c r="C56" s="12">
        <v>99500</v>
      </c>
    </row>
    <row r="57" spans="2:3" x14ac:dyDescent="0.3">
      <c r="B57" s="8" t="s">
        <v>24</v>
      </c>
      <c r="C57" s="12">
        <v>107000</v>
      </c>
    </row>
    <row r="58" spans="2:3" x14ac:dyDescent="0.3">
      <c r="B58" s="8" t="s">
        <v>24</v>
      </c>
      <c r="C58" s="12">
        <v>84000</v>
      </c>
    </row>
  </sheetData>
  <mergeCells count="6">
    <mergeCell ref="T5:U5"/>
    <mergeCell ref="W6:W11"/>
    <mergeCell ref="E5:G5"/>
    <mergeCell ref="I5:J5"/>
    <mergeCell ref="L5:O5"/>
    <mergeCell ref="Q5:R5"/>
  </mergeCells>
  <dataValidations count="2">
    <dataValidation type="list" allowBlank="1" showInputMessage="1" showErrorMessage="1" sqref="N6" xr:uid="{80786F4C-EFAD-475B-A267-3D35A985D790}">
      <formula1>$Y$6:$Y$8</formula1>
    </dataValidation>
    <dataValidation type="list" allowBlank="1" showInputMessage="1" showErrorMessage="1" sqref="N7" xr:uid="{763F53FC-4939-455D-9308-180433D28BA6}">
      <formula1>$Z$6:$Z$8</formula1>
    </dataValidation>
  </dataValidation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E6489-8BB2-4099-9250-049C9004B49F}">
  <sheetPr codeName="Sheet48">
    <tabColor rgb="FFEFE5F7"/>
  </sheetPr>
  <dimension ref="B1:C100"/>
  <sheetViews>
    <sheetView showGridLines="0" workbookViewId="0">
      <selection activeCell="Q11" sqref="Q11"/>
    </sheetView>
  </sheetViews>
  <sheetFormatPr defaultRowHeight="14.4" x14ac:dyDescent="0.3"/>
  <cols>
    <col min="1" max="1" width="2.88671875" customWidth="1"/>
    <col min="2" max="2" width="17.109375" customWidth="1"/>
    <col min="3" max="3" width="11.44140625" customWidth="1"/>
  </cols>
  <sheetData>
    <row r="1" spans="2:3" ht="25.5" customHeight="1" x14ac:dyDescent="0.35">
      <c r="B1" s="17" t="s">
        <v>202</v>
      </c>
    </row>
    <row r="2" spans="2:3" ht="15" customHeight="1" x14ac:dyDescent="0.3">
      <c r="B2" s="27" t="s">
        <v>203</v>
      </c>
    </row>
    <row r="3" spans="2:3" ht="18" customHeight="1" x14ac:dyDescent="0.3"/>
    <row r="5" spans="2:3" x14ac:dyDescent="0.3">
      <c r="B5" s="39" t="s">
        <v>68</v>
      </c>
      <c r="C5" s="39" t="s">
        <v>69</v>
      </c>
    </row>
    <row r="6" spans="2:3" x14ac:dyDescent="0.3">
      <c r="B6" s="46">
        <v>68.400000000000006</v>
      </c>
      <c r="C6" s="46">
        <v>90.2</v>
      </c>
    </row>
    <row r="7" spans="2:3" x14ac:dyDescent="0.3">
      <c r="B7" s="8">
        <v>62.1</v>
      </c>
      <c r="C7" s="8">
        <v>92.8</v>
      </c>
    </row>
    <row r="8" spans="2:3" x14ac:dyDescent="0.3">
      <c r="B8" s="8">
        <v>70.2</v>
      </c>
      <c r="C8" s="8">
        <v>68.7</v>
      </c>
    </row>
    <row r="9" spans="2:3" x14ac:dyDescent="0.3">
      <c r="B9" s="8">
        <v>75.099999999999994</v>
      </c>
      <c r="C9" s="8">
        <v>80.7</v>
      </c>
    </row>
    <row r="10" spans="2:3" x14ac:dyDescent="0.3">
      <c r="B10" s="8">
        <v>60.9</v>
      </c>
      <c r="C10" s="8">
        <v>74.900000000000006</v>
      </c>
    </row>
    <row r="11" spans="2:3" x14ac:dyDescent="0.3">
      <c r="B11" s="8">
        <v>74.5</v>
      </c>
      <c r="C11" s="8">
        <v>80.7</v>
      </c>
    </row>
    <row r="12" spans="2:3" x14ac:dyDescent="0.3">
      <c r="B12" s="8">
        <v>76.400000000000006</v>
      </c>
      <c r="C12" s="8">
        <v>83.3</v>
      </c>
    </row>
    <row r="13" spans="2:3" x14ac:dyDescent="0.3">
      <c r="B13" s="8">
        <v>82.6</v>
      </c>
      <c r="C13" s="8">
        <v>88.7</v>
      </c>
    </row>
    <row r="14" spans="2:3" x14ac:dyDescent="0.3">
      <c r="B14" s="8">
        <v>76.900000000000006</v>
      </c>
      <c r="C14" s="8">
        <v>75.400000000000006</v>
      </c>
    </row>
    <row r="15" spans="2:3" x14ac:dyDescent="0.3">
      <c r="B15" s="8">
        <v>83.3</v>
      </c>
      <c r="C15" s="8">
        <v>82.1</v>
      </c>
    </row>
    <row r="16" spans="2:3" x14ac:dyDescent="0.3">
      <c r="B16" s="8">
        <v>75.8</v>
      </c>
      <c r="C16" s="8">
        <v>87.5</v>
      </c>
    </row>
    <row r="17" spans="2:3" x14ac:dyDescent="0.3">
      <c r="B17" s="8">
        <v>76</v>
      </c>
      <c r="C17" s="8">
        <v>66.900000000000006</v>
      </c>
    </row>
    <row r="18" spans="2:3" x14ac:dyDescent="0.3">
      <c r="B18" s="8">
        <v>62.8</v>
      </c>
      <c r="C18" s="8">
        <v>71.3</v>
      </c>
    </row>
    <row r="19" spans="2:3" x14ac:dyDescent="0.3">
      <c r="B19" s="8">
        <v>82.8</v>
      </c>
      <c r="C19" s="8">
        <v>76.8</v>
      </c>
    </row>
    <row r="20" spans="2:3" x14ac:dyDescent="0.3">
      <c r="B20" s="8">
        <v>76</v>
      </c>
      <c r="C20" s="8">
        <v>72.3</v>
      </c>
    </row>
    <row r="21" spans="2:3" x14ac:dyDescent="0.3">
      <c r="B21" s="8">
        <v>76.900000000000006</v>
      </c>
      <c r="C21" s="8">
        <v>72.400000000000006</v>
      </c>
    </row>
    <row r="22" spans="2:3" x14ac:dyDescent="0.3">
      <c r="B22" s="8">
        <v>75.8</v>
      </c>
      <c r="C22" s="8">
        <v>72</v>
      </c>
    </row>
    <row r="23" spans="2:3" x14ac:dyDescent="0.3">
      <c r="B23" s="8">
        <v>78</v>
      </c>
      <c r="C23" s="8">
        <v>81</v>
      </c>
    </row>
    <row r="24" spans="2:3" x14ac:dyDescent="0.3">
      <c r="B24" s="8">
        <v>82.4</v>
      </c>
      <c r="C24" s="8">
        <v>96.1</v>
      </c>
    </row>
    <row r="25" spans="2:3" x14ac:dyDescent="0.3">
      <c r="B25" s="8">
        <v>76.2</v>
      </c>
      <c r="C25" s="8">
        <v>76.7</v>
      </c>
    </row>
    <row r="26" spans="2:3" x14ac:dyDescent="0.3">
      <c r="B26" s="8">
        <v>62.5</v>
      </c>
      <c r="C26" s="8">
        <v>80.3</v>
      </c>
    </row>
    <row r="27" spans="2:3" x14ac:dyDescent="0.3">
      <c r="B27" s="8">
        <v>78</v>
      </c>
      <c r="C27" s="8">
        <v>77.8</v>
      </c>
    </row>
    <row r="28" spans="2:3" x14ac:dyDescent="0.3">
      <c r="B28" s="8">
        <v>66.5</v>
      </c>
      <c r="C28" s="8">
        <v>62.6</v>
      </c>
    </row>
    <row r="29" spans="2:3" x14ac:dyDescent="0.3">
      <c r="B29" s="8">
        <v>63.5</v>
      </c>
      <c r="C29" s="8">
        <v>80.2</v>
      </c>
    </row>
    <row r="30" spans="2:3" x14ac:dyDescent="0.3">
      <c r="B30" s="8">
        <v>82.6</v>
      </c>
      <c r="C30" s="8">
        <v>79.099999999999994</v>
      </c>
    </row>
    <row r="31" spans="2:3" x14ac:dyDescent="0.3">
      <c r="B31" s="8">
        <v>79.2</v>
      </c>
      <c r="C31" s="8">
        <v>77.8</v>
      </c>
    </row>
    <row r="32" spans="2:3" x14ac:dyDescent="0.3">
      <c r="B32" s="8">
        <v>75</v>
      </c>
      <c r="C32" s="8">
        <v>75.099999999999994</v>
      </c>
    </row>
    <row r="33" spans="2:3" x14ac:dyDescent="0.3">
      <c r="B33" s="8">
        <v>74.400000000000006</v>
      </c>
      <c r="C33" s="8">
        <v>82.2</v>
      </c>
    </row>
    <row r="34" spans="2:3" x14ac:dyDescent="0.3">
      <c r="B34" s="8">
        <v>67.900000000000006</v>
      </c>
      <c r="C34" s="8">
        <v>70.5</v>
      </c>
    </row>
    <row r="35" spans="2:3" x14ac:dyDescent="0.3">
      <c r="B35" s="8">
        <v>76.8</v>
      </c>
      <c r="C35" s="8">
        <v>70.8</v>
      </c>
    </row>
    <row r="36" spans="2:3" x14ac:dyDescent="0.3">
      <c r="B36" s="8">
        <v>83</v>
      </c>
      <c r="C36" s="8">
        <v>87.5</v>
      </c>
    </row>
    <row r="37" spans="2:3" x14ac:dyDescent="0.3">
      <c r="B37" s="8">
        <v>88.9</v>
      </c>
      <c r="C37" s="8">
        <v>79.5</v>
      </c>
    </row>
    <row r="38" spans="2:3" x14ac:dyDescent="0.3">
      <c r="B38" s="8">
        <v>76.5</v>
      </c>
      <c r="C38" s="8">
        <v>80.8</v>
      </c>
    </row>
    <row r="39" spans="2:3" x14ac:dyDescent="0.3">
      <c r="B39" s="8">
        <v>79.900000000000006</v>
      </c>
      <c r="C39" s="8">
        <v>79.599999999999994</v>
      </c>
    </row>
    <row r="40" spans="2:3" x14ac:dyDescent="0.3">
      <c r="B40" s="8">
        <v>70.400000000000006</v>
      </c>
      <c r="C40" s="8">
        <v>88.9</v>
      </c>
    </row>
    <row r="41" spans="2:3" x14ac:dyDescent="0.3">
      <c r="B41" s="8">
        <v>83.4</v>
      </c>
      <c r="C41" s="8">
        <v>85.9</v>
      </c>
    </row>
    <row r="42" spans="2:3" x14ac:dyDescent="0.3">
      <c r="B42" s="8">
        <v>79.2</v>
      </c>
      <c r="C42" s="8">
        <v>82.3</v>
      </c>
    </row>
    <row r="43" spans="2:3" x14ac:dyDescent="0.3">
      <c r="B43" s="8">
        <v>61.2</v>
      </c>
      <c r="C43" s="8">
        <v>76.7</v>
      </c>
    </row>
    <row r="44" spans="2:3" x14ac:dyDescent="0.3">
      <c r="B44" s="8">
        <v>64</v>
      </c>
      <c r="C44" s="8">
        <v>79.900000000000006</v>
      </c>
    </row>
    <row r="45" spans="2:3" x14ac:dyDescent="0.3">
      <c r="B45" s="8">
        <v>68</v>
      </c>
      <c r="C45" s="8">
        <v>86.2</v>
      </c>
    </row>
    <row r="46" spans="2:3" x14ac:dyDescent="0.3">
      <c r="B46" s="8">
        <v>78.5</v>
      </c>
      <c r="C46" s="8">
        <v>79.2</v>
      </c>
    </row>
    <row r="47" spans="2:3" x14ac:dyDescent="0.3">
      <c r="B47" s="8">
        <v>83</v>
      </c>
      <c r="C47" s="8">
        <v>83.4</v>
      </c>
    </row>
    <row r="48" spans="2:3" x14ac:dyDescent="0.3">
      <c r="B48" s="8">
        <v>75.2</v>
      </c>
      <c r="C48" s="8">
        <v>85.2</v>
      </c>
    </row>
    <row r="49" spans="2:3" x14ac:dyDescent="0.3">
      <c r="B49" s="8">
        <v>68.099999999999994</v>
      </c>
      <c r="C49" s="8">
        <v>77.8</v>
      </c>
    </row>
    <row r="50" spans="2:3" x14ac:dyDescent="0.3">
      <c r="B50" s="8">
        <v>93.6</v>
      </c>
      <c r="C50" s="8">
        <v>80.2</v>
      </c>
    </row>
    <row r="51" spans="2:3" x14ac:dyDescent="0.3">
      <c r="B51" s="8">
        <v>75.599999999999994</v>
      </c>
      <c r="C51" s="8">
        <v>71</v>
      </c>
    </row>
    <row r="52" spans="2:3" x14ac:dyDescent="0.3">
      <c r="B52" s="8">
        <v>82.3</v>
      </c>
      <c r="C52" s="8">
        <v>87.2</v>
      </c>
    </row>
    <row r="53" spans="2:3" x14ac:dyDescent="0.3">
      <c r="B53" s="8">
        <v>71.400000000000006</v>
      </c>
      <c r="C53" s="8">
        <v>82.9</v>
      </c>
    </row>
    <row r="54" spans="2:3" x14ac:dyDescent="0.3">
      <c r="B54" s="8">
        <v>71.900000000000006</v>
      </c>
      <c r="C54" s="8">
        <v>73.5</v>
      </c>
    </row>
    <row r="55" spans="2:3" x14ac:dyDescent="0.3">
      <c r="B55" s="8">
        <v>79.099999999999994</v>
      </c>
      <c r="C55" s="8">
        <v>74.599999999999994</v>
      </c>
    </row>
    <row r="56" spans="2:3" x14ac:dyDescent="0.3">
      <c r="B56" s="8">
        <v>88.7</v>
      </c>
      <c r="C56" s="8">
        <v>75.099999999999994</v>
      </c>
    </row>
    <row r="57" spans="2:3" x14ac:dyDescent="0.3">
      <c r="B57" s="8">
        <v>69.400000000000006</v>
      </c>
      <c r="C57" s="8">
        <v>85.1</v>
      </c>
    </row>
    <row r="58" spans="2:3" x14ac:dyDescent="0.3">
      <c r="B58" s="8">
        <v>80.3</v>
      </c>
      <c r="C58" s="8">
        <v>74.900000000000006</v>
      </c>
    </row>
    <row r="59" spans="2:3" x14ac:dyDescent="0.3">
      <c r="B59" s="8">
        <v>83</v>
      </c>
      <c r="C59" s="8">
        <v>84.6</v>
      </c>
    </row>
    <row r="60" spans="2:3" x14ac:dyDescent="0.3">
      <c r="B60" s="8">
        <v>74.099999999999994</v>
      </c>
      <c r="C60" s="8">
        <v>81.7</v>
      </c>
    </row>
    <row r="61" spans="2:3" x14ac:dyDescent="0.3">
      <c r="B61" s="8">
        <v>79.400000000000006</v>
      </c>
      <c r="C61" s="8">
        <v>81.400000000000006</v>
      </c>
    </row>
    <row r="62" spans="2:3" x14ac:dyDescent="0.3">
      <c r="B62" s="8">
        <v>88.1</v>
      </c>
      <c r="C62" s="8">
        <v>83.8</v>
      </c>
    </row>
    <row r="63" spans="2:3" x14ac:dyDescent="0.3">
      <c r="B63" s="8">
        <v>74.599999999999994</v>
      </c>
      <c r="C63" s="8">
        <v>88.5</v>
      </c>
    </row>
    <row r="64" spans="2:3" x14ac:dyDescent="0.3">
      <c r="B64" s="8">
        <v>87.1</v>
      </c>
      <c r="C64" s="8">
        <v>84.9</v>
      </c>
    </row>
    <row r="65" spans="2:3" x14ac:dyDescent="0.3">
      <c r="B65" s="8">
        <v>79.7</v>
      </c>
      <c r="C65" s="8">
        <v>84.3</v>
      </c>
    </row>
    <row r="66" spans="2:3" x14ac:dyDescent="0.3">
      <c r="B66" s="8">
        <v>82.1</v>
      </c>
      <c r="C66" s="8">
        <v>78.2</v>
      </c>
    </row>
    <row r="67" spans="2:3" x14ac:dyDescent="0.3">
      <c r="B67" s="8">
        <v>70.2</v>
      </c>
      <c r="C67" s="8">
        <v>80</v>
      </c>
    </row>
    <row r="68" spans="2:3" x14ac:dyDescent="0.3">
      <c r="B68" s="8">
        <v>81.7</v>
      </c>
      <c r="C68" s="8">
        <v>74.8</v>
      </c>
    </row>
    <row r="69" spans="2:3" x14ac:dyDescent="0.3">
      <c r="B69" s="8">
        <v>76.099999999999994</v>
      </c>
      <c r="C69" s="8">
        <v>78.5</v>
      </c>
    </row>
    <row r="70" spans="2:3" x14ac:dyDescent="0.3">
      <c r="B70" s="8">
        <v>65.400000000000006</v>
      </c>
      <c r="C70" s="8">
        <v>71.8</v>
      </c>
    </row>
    <row r="71" spans="2:3" x14ac:dyDescent="0.3">
      <c r="B71" s="8">
        <v>70.099999999999994</v>
      </c>
      <c r="C71" s="8">
        <v>69.900000000000006</v>
      </c>
    </row>
    <row r="72" spans="2:3" x14ac:dyDescent="0.3">
      <c r="B72" s="8">
        <v>75.3</v>
      </c>
      <c r="C72" s="8">
        <v>82.7</v>
      </c>
    </row>
    <row r="73" spans="2:3" x14ac:dyDescent="0.3">
      <c r="B73" s="8">
        <v>68.7</v>
      </c>
      <c r="C73" s="8">
        <v>74</v>
      </c>
    </row>
    <row r="74" spans="2:3" x14ac:dyDescent="0.3">
      <c r="B74" s="8">
        <v>75.7</v>
      </c>
      <c r="C74" s="8">
        <v>84</v>
      </c>
    </row>
    <row r="75" spans="2:3" x14ac:dyDescent="0.3">
      <c r="B75" s="8">
        <v>68.7</v>
      </c>
      <c r="C75" s="8">
        <v>84.7</v>
      </c>
    </row>
    <row r="76" spans="2:3" x14ac:dyDescent="0.3">
      <c r="B76" s="8">
        <v>70.400000000000006</v>
      </c>
      <c r="C76" s="8">
        <v>78.2</v>
      </c>
    </row>
    <row r="77" spans="2:3" x14ac:dyDescent="0.3">
      <c r="B77" s="8">
        <v>68.3</v>
      </c>
      <c r="C77" s="8">
        <v>85</v>
      </c>
    </row>
    <row r="78" spans="2:3" x14ac:dyDescent="0.3">
      <c r="B78" s="8">
        <v>71.7</v>
      </c>
      <c r="C78" s="8">
        <v>80.099999999999994</v>
      </c>
    </row>
    <row r="79" spans="2:3" x14ac:dyDescent="0.3">
      <c r="B79" s="8">
        <v>70.900000000000006</v>
      </c>
      <c r="C79" s="8">
        <v>85.3</v>
      </c>
    </row>
    <row r="80" spans="2:3" x14ac:dyDescent="0.3">
      <c r="B80" s="8">
        <v>66.3</v>
      </c>
      <c r="C80" s="8">
        <v>79.7</v>
      </c>
    </row>
    <row r="81" spans="2:3" x14ac:dyDescent="0.3">
      <c r="B81" s="8">
        <v>65.3</v>
      </c>
      <c r="C81" s="8">
        <v>79.599999999999994</v>
      </c>
    </row>
    <row r="82" spans="2:3" x14ac:dyDescent="0.3">
      <c r="B82" s="8">
        <v>75.7</v>
      </c>
      <c r="C82" s="8">
        <v>78.900000000000006</v>
      </c>
    </row>
    <row r="83" spans="2:3" x14ac:dyDescent="0.3">
      <c r="B83" s="8">
        <v>66</v>
      </c>
      <c r="C83" s="8">
        <v>78.5</v>
      </c>
    </row>
    <row r="84" spans="2:3" x14ac:dyDescent="0.3">
      <c r="B84" s="8">
        <v>78.900000000000006</v>
      </c>
      <c r="C84" s="8">
        <v>72</v>
      </c>
    </row>
    <row r="85" spans="2:3" x14ac:dyDescent="0.3">
      <c r="B85" s="8">
        <v>74</v>
      </c>
      <c r="C85" s="8">
        <v>74.2</v>
      </c>
    </row>
    <row r="86" spans="2:3" x14ac:dyDescent="0.3">
      <c r="B86" s="8">
        <v>74.599999999999994</v>
      </c>
      <c r="C86" s="8">
        <v>71.7</v>
      </c>
    </row>
    <row r="87" spans="2:3" x14ac:dyDescent="0.3">
      <c r="B87" s="8">
        <v>79.3</v>
      </c>
      <c r="C87" s="8">
        <v>80.7</v>
      </c>
    </row>
    <row r="88" spans="2:3" x14ac:dyDescent="0.3">
      <c r="B88" s="8">
        <v>70.099999999999994</v>
      </c>
      <c r="C88" s="8">
        <v>84.1</v>
      </c>
    </row>
    <row r="89" spans="2:3" x14ac:dyDescent="0.3">
      <c r="B89" s="8">
        <v>88.8</v>
      </c>
      <c r="C89" s="8">
        <v>87.4</v>
      </c>
    </row>
    <row r="90" spans="2:3" x14ac:dyDescent="0.3">
      <c r="B90" s="8">
        <v>66</v>
      </c>
      <c r="C90" s="8">
        <v>77.400000000000006</v>
      </c>
    </row>
    <row r="91" spans="2:3" x14ac:dyDescent="0.3">
      <c r="B91" s="8">
        <v>82.9</v>
      </c>
      <c r="C91" s="8">
        <v>84.7</v>
      </c>
    </row>
    <row r="92" spans="2:3" x14ac:dyDescent="0.3">
      <c r="B92" s="8">
        <v>100</v>
      </c>
      <c r="C92" s="8">
        <v>78.8</v>
      </c>
    </row>
    <row r="93" spans="2:3" x14ac:dyDescent="0.3">
      <c r="B93" s="8">
        <v>75.599999999999994</v>
      </c>
      <c r="C93" s="8">
        <v>92.7</v>
      </c>
    </row>
    <row r="94" spans="2:3" x14ac:dyDescent="0.3">
      <c r="B94" s="8">
        <v>67.5</v>
      </c>
      <c r="C94" s="8">
        <v>88.8</v>
      </c>
    </row>
    <row r="95" spans="2:3" x14ac:dyDescent="0.3">
      <c r="B95" s="8">
        <v>68.7</v>
      </c>
      <c r="C95" s="8">
        <v>86.6</v>
      </c>
    </row>
    <row r="96" spans="2:3" x14ac:dyDescent="0.3">
      <c r="B96" s="8">
        <v>76</v>
      </c>
      <c r="C96" s="8">
        <v>77.900000000000006</v>
      </c>
    </row>
    <row r="97" spans="2:3" x14ac:dyDescent="0.3">
      <c r="B97" s="8">
        <v>67.7</v>
      </c>
      <c r="C97" s="8">
        <v>86.1</v>
      </c>
    </row>
    <row r="98" spans="2:3" x14ac:dyDescent="0.3">
      <c r="B98" s="8">
        <v>75.3</v>
      </c>
      <c r="C98" s="8">
        <v>89.9</v>
      </c>
    </row>
    <row r="99" spans="2:3" x14ac:dyDescent="0.3">
      <c r="B99" s="8">
        <v>68.099999999999994</v>
      </c>
      <c r="C99" s="8">
        <v>83.1</v>
      </c>
    </row>
    <row r="100" spans="2:3" x14ac:dyDescent="0.3">
      <c r="B100" s="8">
        <v>63.3</v>
      </c>
      <c r="C100" s="8">
        <v>82.6</v>
      </c>
    </row>
  </sheetData>
  <pageMargins left="0.7" right="0.7" top="0.75" bottom="0.75" header="0.3" footer="0.3"/>
  <pageSetup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9BDA3-48BF-423F-8B04-0FFA43FF3100}">
  <sheetPr codeName="Sheet49">
    <tabColor rgb="FFEFE5F7"/>
  </sheetPr>
  <dimension ref="B1:F100"/>
  <sheetViews>
    <sheetView showGridLines="0" workbookViewId="0">
      <selection activeCell="O19" sqref="O19"/>
    </sheetView>
  </sheetViews>
  <sheetFormatPr defaultRowHeight="14.4" x14ac:dyDescent="0.3"/>
  <cols>
    <col min="1" max="1" width="2.88671875" customWidth="1"/>
    <col min="2" max="2" width="17.109375" customWidth="1"/>
    <col min="3" max="3" width="11.44140625" customWidth="1"/>
    <col min="5" max="5" width="14.33203125" customWidth="1"/>
    <col min="6" max="6" width="9.109375" customWidth="1"/>
  </cols>
  <sheetData>
    <row r="1" spans="2:6" ht="25.5" customHeight="1" x14ac:dyDescent="0.35">
      <c r="B1" s="17" t="s">
        <v>202</v>
      </c>
    </row>
    <row r="2" spans="2:6" ht="15" customHeight="1" x14ac:dyDescent="0.3">
      <c r="B2" s="27" t="s">
        <v>203</v>
      </c>
    </row>
    <row r="3" spans="2:6" ht="18" customHeight="1" x14ac:dyDescent="0.3"/>
    <row r="4" spans="2:6" x14ac:dyDescent="0.3">
      <c r="E4" s="3"/>
    </row>
    <row r="5" spans="2:6" x14ac:dyDescent="0.3">
      <c r="B5" s="39" t="s">
        <v>68</v>
      </c>
      <c r="C5" s="39" t="s">
        <v>69</v>
      </c>
      <c r="E5" s="108" t="s">
        <v>205</v>
      </c>
      <c r="F5" s="108"/>
    </row>
    <row r="6" spans="2:6" x14ac:dyDescent="0.3">
      <c r="B6" s="46">
        <v>68.400000000000006</v>
      </c>
      <c r="C6" s="46">
        <v>90.2</v>
      </c>
      <c r="E6" s="19" t="s">
        <v>206</v>
      </c>
      <c r="F6" s="81">
        <f>CORREL(B6:B100,C6:C100)</f>
        <v>0.10605610621279929</v>
      </c>
    </row>
    <row r="7" spans="2:6" x14ac:dyDescent="0.3">
      <c r="B7" s="8">
        <v>62.1</v>
      </c>
      <c r="C7" s="8">
        <v>92.8</v>
      </c>
    </row>
    <row r="8" spans="2:6" x14ac:dyDescent="0.3">
      <c r="B8" s="8">
        <v>70.2</v>
      </c>
      <c r="C8" s="8">
        <v>68.7</v>
      </c>
    </row>
    <row r="9" spans="2:6" x14ac:dyDescent="0.3">
      <c r="B9" s="8">
        <v>75.099999999999994</v>
      </c>
      <c r="C9" s="8">
        <v>80.7</v>
      </c>
    </row>
    <row r="10" spans="2:6" x14ac:dyDescent="0.3">
      <c r="B10" s="8">
        <v>60.9</v>
      </c>
      <c r="C10" s="8">
        <v>74.900000000000006</v>
      </c>
    </row>
    <row r="11" spans="2:6" x14ac:dyDescent="0.3">
      <c r="B11" s="8">
        <v>74.5</v>
      </c>
      <c r="C11" s="8">
        <v>80.7</v>
      </c>
    </row>
    <row r="12" spans="2:6" x14ac:dyDescent="0.3">
      <c r="B12" s="8">
        <v>76.400000000000006</v>
      </c>
      <c r="C12" s="8">
        <v>83.3</v>
      </c>
    </row>
    <row r="13" spans="2:6" x14ac:dyDescent="0.3">
      <c r="B13" s="8">
        <v>82.6</v>
      </c>
      <c r="C13" s="8">
        <v>88.7</v>
      </c>
    </row>
    <row r="14" spans="2:6" x14ac:dyDescent="0.3">
      <c r="B14" s="8">
        <v>76.900000000000006</v>
      </c>
      <c r="C14" s="8">
        <v>75.400000000000006</v>
      </c>
    </row>
    <row r="15" spans="2:6" x14ac:dyDescent="0.3">
      <c r="B15" s="8">
        <v>83.3</v>
      </c>
      <c r="C15" s="8">
        <v>82.1</v>
      </c>
    </row>
    <row r="16" spans="2:6" x14ac:dyDescent="0.3">
      <c r="B16" s="8">
        <v>75.8</v>
      </c>
      <c r="C16" s="8">
        <v>87.5</v>
      </c>
    </row>
    <row r="17" spans="2:3" x14ac:dyDescent="0.3">
      <c r="B17" s="8">
        <v>76</v>
      </c>
      <c r="C17" s="8">
        <v>66.900000000000006</v>
      </c>
    </row>
    <row r="18" spans="2:3" x14ac:dyDescent="0.3">
      <c r="B18" s="8">
        <v>62.8</v>
      </c>
      <c r="C18" s="8">
        <v>71.3</v>
      </c>
    </row>
    <row r="19" spans="2:3" x14ac:dyDescent="0.3">
      <c r="B19" s="8">
        <v>82.8</v>
      </c>
      <c r="C19" s="8">
        <v>76.8</v>
      </c>
    </row>
    <row r="20" spans="2:3" x14ac:dyDescent="0.3">
      <c r="B20" s="8">
        <v>76</v>
      </c>
      <c r="C20" s="8">
        <v>72.3</v>
      </c>
    </row>
    <row r="21" spans="2:3" x14ac:dyDescent="0.3">
      <c r="B21" s="8">
        <v>76.900000000000006</v>
      </c>
      <c r="C21" s="8">
        <v>72.400000000000006</v>
      </c>
    </row>
    <row r="22" spans="2:3" x14ac:dyDescent="0.3">
      <c r="B22" s="8">
        <v>75.8</v>
      </c>
      <c r="C22" s="8">
        <v>72</v>
      </c>
    </row>
    <row r="23" spans="2:3" x14ac:dyDescent="0.3">
      <c r="B23" s="8">
        <v>78</v>
      </c>
      <c r="C23" s="8">
        <v>81</v>
      </c>
    </row>
    <row r="24" spans="2:3" x14ac:dyDescent="0.3">
      <c r="B24" s="8">
        <v>82.4</v>
      </c>
      <c r="C24" s="8">
        <v>96.1</v>
      </c>
    </row>
    <row r="25" spans="2:3" x14ac:dyDescent="0.3">
      <c r="B25" s="8">
        <v>76.2</v>
      </c>
      <c r="C25" s="8">
        <v>76.7</v>
      </c>
    </row>
    <row r="26" spans="2:3" x14ac:dyDescent="0.3">
      <c r="B26" s="8">
        <v>62.5</v>
      </c>
      <c r="C26" s="8">
        <v>80.3</v>
      </c>
    </row>
    <row r="27" spans="2:3" x14ac:dyDescent="0.3">
      <c r="B27" s="8">
        <v>78</v>
      </c>
      <c r="C27" s="8">
        <v>77.8</v>
      </c>
    </row>
    <row r="28" spans="2:3" x14ac:dyDescent="0.3">
      <c r="B28" s="8">
        <v>66.5</v>
      </c>
      <c r="C28" s="8">
        <v>62.6</v>
      </c>
    </row>
    <row r="29" spans="2:3" x14ac:dyDescent="0.3">
      <c r="B29" s="8">
        <v>63.5</v>
      </c>
      <c r="C29" s="8">
        <v>80.2</v>
      </c>
    </row>
    <row r="30" spans="2:3" x14ac:dyDescent="0.3">
      <c r="B30" s="8">
        <v>82.6</v>
      </c>
      <c r="C30" s="8">
        <v>79.099999999999994</v>
      </c>
    </row>
    <row r="31" spans="2:3" x14ac:dyDescent="0.3">
      <c r="B31" s="8">
        <v>79.2</v>
      </c>
      <c r="C31" s="8">
        <v>77.8</v>
      </c>
    </row>
    <row r="32" spans="2:3" x14ac:dyDescent="0.3">
      <c r="B32" s="8">
        <v>75</v>
      </c>
      <c r="C32" s="8">
        <v>75.099999999999994</v>
      </c>
    </row>
    <row r="33" spans="2:3" x14ac:dyDescent="0.3">
      <c r="B33" s="8">
        <v>74.400000000000006</v>
      </c>
      <c r="C33" s="8">
        <v>82.2</v>
      </c>
    </row>
    <row r="34" spans="2:3" x14ac:dyDescent="0.3">
      <c r="B34" s="8">
        <v>67.900000000000006</v>
      </c>
      <c r="C34" s="8">
        <v>70.5</v>
      </c>
    </row>
    <row r="35" spans="2:3" x14ac:dyDescent="0.3">
      <c r="B35" s="8">
        <v>76.8</v>
      </c>
      <c r="C35" s="8">
        <v>70.8</v>
      </c>
    </row>
    <row r="36" spans="2:3" x14ac:dyDescent="0.3">
      <c r="B36" s="8">
        <v>83</v>
      </c>
      <c r="C36" s="8">
        <v>87.5</v>
      </c>
    </row>
    <row r="37" spans="2:3" x14ac:dyDescent="0.3">
      <c r="B37" s="8">
        <v>88.9</v>
      </c>
      <c r="C37" s="8">
        <v>79.5</v>
      </c>
    </row>
    <row r="38" spans="2:3" x14ac:dyDescent="0.3">
      <c r="B38" s="8">
        <v>76.5</v>
      </c>
      <c r="C38" s="8">
        <v>80.8</v>
      </c>
    </row>
    <row r="39" spans="2:3" x14ac:dyDescent="0.3">
      <c r="B39" s="8">
        <v>79.900000000000006</v>
      </c>
      <c r="C39" s="8">
        <v>79.599999999999994</v>
      </c>
    </row>
    <row r="40" spans="2:3" x14ac:dyDescent="0.3">
      <c r="B40" s="8">
        <v>70.400000000000006</v>
      </c>
      <c r="C40" s="8">
        <v>88.9</v>
      </c>
    </row>
    <row r="41" spans="2:3" x14ac:dyDescent="0.3">
      <c r="B41" s="8">
        <v>83.4</v>
      </c>
      <c r="C41" s="8">
        <v>85.9</v>
      </c>
    </row>
    <row r="42" spans="2:3" x14ac:dyDescent="0.3">
      <c r="B42" s="8">
        <v>79.2</v>
      </c>
      <c r="C42" s="8">
        <v>82.3</v>
      </c>
    </row>
    <row r="43" spans="2:3" x14ac:dyDescent="0.3">
      <c r="B43" s="8">
        <v>61.2</v>
      </c>
      <c r="C43" s="8">
        <v>76.7</v>
      </c>
    </row>
    <row r="44" spans="2:3" x14ac:dyDescent="0.3">
      <c r="B44" s="8">
        <v>64</v>
      </c>
      <c r="C44" s="8">
        <v>79.900000000000006</v>
      </c>
    </row>
    <row r="45" spans="2:3" x14ac:dyDescent="0.3">
      <c r="B45" s="8">
        <v>68</v>
      </c>
      <c r="C45" s="8">
        <v>86.2</v>
      </c>
    </row>
    <row r="46" spans="2:3" x14ac:dyDescent="0.3">
      <c r="B46" s="8">
        <v>78.5</v>
      </c>
      <c r="C46" s="8">
        <v>79.2</v>
      </c>
    </row>
    <row r="47" spans="2:3" x14ac:dyDescent="0.3">
      <c r="B47" s="8">
        <v>83</v>
      </c>
      <c r="C47" s="8">
        <v>83.4</v>
      </c>
    </row>
    <row r="48" spans="2:3" x14ac:dyDescent="0.3">
      <c r="B48" s="8">
        <v>75.2</v>
      </c>
      <c r="C48" s="8">
        <v>85.2</v>
      </c>
    </row>
    <row r="49" spans="2:3" x14ac:dyDescent="0.3">
      <c r="B49" s="8">
        <v>68.099999999999994</v>
      </c>
      <c r="C49" s="8">
        <v>77.8</v>
      </c>
    </row>
    <row r="50" spans="2:3" x14ac:dyDescent="0.3">
      <c r="B50" s="8">
        <v>93.6</v>
      </c>
      <c r="C50" s="8">
        <v>80.2</v>
      </c>
    </row>
    <row r="51" spans="2:3" x14ac:dyDescent="0.3">
      <c r="B51" s="8">
        <v>75.599999999999994</v>
      </c>
      <c r="C51" s="8">
        <v>71</v>
      </c>
    </row>
    <row r="52" spans="2:3" x14ac:dyDescent="0.3">
      <c r="B52" s="8">
        <v>82.3</v>
      </c>
      <c r="C52" s="8">
        <v>87.2</v>
      </c>
    </row>
    <row r="53" spans="2:3" x14ac:dyDescent="0.3">
      <c r="B53" s="8">
        <v>71.400000000000006</v>
      </c>
      <c r="C53" s="8">
        <v>82.9</v>
      </c>
    </row>
    <row r="54" spans="2:3" x14ac:dyDescent="0.3">
      <c r="B54" s="8">
        <v>71.900000000000006</v>
      </c>
      <c r="C54" s="8">
        <v>73.5</v>
      </c>
    </row>
    <row r="55" spans="2:3" x14ac:dyDescent="0.3">
      <c r="B55" s="8">
        <v>79.099999999999994</v>
      </c>
      <c r="C55" s="8">
        <v>74.599999999999994</v>
      </c>
    </row>
    <row r="56" spans="2:3" x14ac:dyDescent="0.3">
      <c r="B56" s="8">
        <v>88.7</v>
      </c>
      <c r="C56" s="8">
        <v>75.099999999999994</v>
      </c>
    </row>
    <row r="57" spans="2:3" x14ac:dyDescent="0.3">
      <c r="B57" s="8">
        <v>69.400000000000006</v>
      </c>
      <c r="C57" s="8">
        <v>85.1</v>
      </c>
    </row>
    <row r="58" spans="2:3" x14ac:dyDescent="0.3">
      <c r="B58" s="8">
        <v>80.3</v>
      </c>
      <c r="C58" s="8">
        <v>74.900000000000006</v>
      </c>
    </row>
    <row r="59" spans="2:3" x14ac:dyDescent="0.3">
      <c r="B59" s="8">
        <v>83</v>
      </c>
      <c r="C59" s="8">
        <v>84.6</v>
      </c>
    </row>
    <row r="60" spans="2:3" x14ac:dyDescent="0.3">
      <c r="B60" s="8">
        <v>74.099999999999994</v>
      </c>
      <c r="C60" s="8">
        <v>81.7</v>
      </c>
    </row>
    <row r="61" spans="2:3" x14ac:dyDescent="0.3">
      <c r="B61" s="8">
        <v>79.400000000000006</v>
      </c>
      <c r="C61" s="8">
        <v>81.400000000000006</v>
      </c>
    </row>
    <row r="62" spans="2:3" x14ac:dyDescent="0.3">
      <c r="B62" s="8">
        <v>88.1</v>
      </c>
      <c r="C62" s="8">
        <v>83.8</v>
      </c>
    </row>
    <row r="63" spans="2:3" x14ac:dyDescent="0.3">
      <c r="B63" s="8">
        <v>74.599999999999994</v>
      </c>
      <c r="C63" s="8">
        <v>88.5</v>
      </c>
    </row>
    <row r="64" spans="2:3" x14ac:dyDescent="0.3">
      <c r="B64" s="8">
        <v>87.1</v>
      </c>
      <c r="C64" s="8">
        <v>84.9</v>
      </c>
    </row>
    <row r="65" spans="2:3" x14ac:dyDescent="0.3">
      <c r="B65" s="8">
        <v>79.7</v>
      </c>
      <c r="C65" s="8">
        <v>84.3</v>
      </c>
    </row>
    <row r="66" spans="2:3" x14ac:dyDescent="0.3">
      <c r="B66" s="8">
        <v>82.1</v>
      </c>
      <c r="C66" s="8">
        <v>78.2</v>
      </c>
    </row>
    <row r="67" spans="2:3" x14ac:dyDescent="0.3">
      <c r="B67" s="8">
        <v>70.2</v>
      </c>
      <c r="C67" s="8">
        <v>80</v>
      </c>
    </row>
    <row r="68" spans="2:3" x14ac:dyDescent="0.3">
      <c r="B68" s="8">
        <v>81.7</v>
      </c>
      <c r="C68" s="8">
        <v>74.8</v>
      </c>
    </row>
    <row r="69" spans="2:3" x14ac:dyDescent="0.3">
      <c r="B69" s="8">
        <v>76.099999999999994</v>
      </c>
      <c r="C69" s="8">
        <v>78.5</v>
      </c>
    </row>
    <row r="70" spans="2:3" x14ac:dyDescent="0.3">
      <c r="B70" s="8">
        <v>65.400000000000006</v>
      </c>
      <c r="C70" s="8">
        <v>71.8</v>
      </c>
    </row>
    <row r="71" spans="2:3" x14ac:dyDescent="0.3">
      <c r="B71" s="8">
        <v>70.099999999999994</v>
      </c>
      <c r="C71" s="8">
        <v>69.900000000000006</v>
      </c>
    </row>
    <row r="72" spans="2:3" x14ac:dyDescent="0.3">
      <c r="B72" s="8">
        <v>75.3</v>
      </c>
      <c r="C72" s="8">
        <v>82.7</v>
      </c>
    </row>
    <row r="73" spans="2:3" x14ac:dyDescent="0.3">
      <c r="B73" s="8">
        <v>68.7</v>
      </c>
      <c r="C73" s="8">
        <v>74</v>
      </c>
    </row>
    <row r="74" spans="2:3" x14ac:dyDescent="0.3">
      <c r="B74" s="8">
        <v>75.7</v>
      </c>
      <c r="C74" s="8">
        <v>84</v>
      </c>
    </row>
    <row r="75" spans="2:3" x14ac:dyDescent="0.3">
      <c r="B75" s="8">
        <v>68.7</v>
      </c>
      <c r="C75" s="8">
        <v>84.7</v>
      </c>
    </row>
    <row r="76" spans="2:3" x14ac:dyDescent="0.3">
      <c r="B76" s="8">
        <v>70.400000000000006</v>
      </c>
      <c r="C76" s="8">
        <v>78.2</v>
      </c>
    </row>
    <row r="77" spans="2:3" x14ac:dyDescent="0.3">
      <c r="B77" s="8">
        <v>68.3</v>
      </c>
      <c r="C77" s="8">
        <v>85</v>
      </c>
    </row>
    <row r="78" spans="2:3" x14ac:dyDescent="0.3">
      <c r="B78" s="8">
        <v>71.7</v>
      </c>
      <c r="C78" s="8">
        <v>80.099999999999994</v>
      </c>
    </row>
    <row r="79" spans="2:3" x14ac:dyDescent="0.3">
      <c r="B79" s="8">
        <v>70.900000000000006</v>
      </c>
      <c r="C79" s="8">
        <v>85.3</v>
      </c>
    </row>
    <row r="80" spans="2:3" x14ac:dyDescent="0.3">
      <c r="B80" s="8">
        <v>66.3</v>
      </c>
      <c r="C80" s="8">
        <v>79.7</v>
      </c>
    </row>
    <row r="81" spans="2:3" x14ac:dyDescent="0.3">
      <c r="B81" s="8">
        <v>65.3</v>
      </c>
      <c r="C81" s="8">
        <v>79.599999999999994</v>
      </c>
    </row>
    <row r="82" spans="2:3" x14ac:dyDescent="0.3">
      <c r="B82" s="8">
        <v>75.7</v>
      </c>
      <c r="C82" s="8">
        <v>78.900000000000006</v>
      </c>
    </row>
    <row r="83" spans="2:3" x14ac:dyDescent="0.3">
      <c r="B83" s="8">
        <v>66</v>
      </c>
      <c r="C83" s="8">
        <v>78.5</v>
      </c>
    </row>
    <row r="84" spans="2:3" x14ac:dyDescent="0.3">
      <c r="B84" s="8">
        <v>78.900000000000006</v>
      </c>
      <c r="C84" s="8">
        <v>72</v>
      </c>
    </row>
    <row r="85" spans="2:3" x14ac:dyDescent="0.3">
      <c r="B85" s="8">
        <v>74</v>
      </c>
      <c r="C85" s="8">
        <v>74.2</v>
      </c>
    </row>
    <row r="86" spans="2:3" x14ac:dyDescent="0.3">
      <c r="B86" s="8">
        <v>74.599999999999994</v>
      </c>
      <c r="C86" s="8">
        <v>71.7</v>
      </c>
    </row>
    <row r="87" spans="2:3" x14ac:dyDescent="0.3">
      <c r="B87" s="8">
        <v>79.3</v>
      </c>
      <c r="C87" s="8">
        <v>80.7</v>
      </c>
    </row>
    <row r="88" spans="2:3" x14ac:dyDescent="0.3">
      <c r="B88" s="8">
        <v>70.099999999999994</v>
      </c>
      <c r="C88" s="8">
        <v>84.1</v>
      </c>
    </row>
    <row r="89" spans="2:3" x14ac:dyDescent="0.3">
      <c r="B89" s="8">
        <v>88.8</v>
      </c>
      <c r="C89" s="8">
        <v>87.4</v>
      </c>
    </row>
    <row r="90" spans="2:3" x14ac:dyDescent="0.3">
      <c r="B90" s="8">
        <v>66</v>
      </c>
      <c r="C90" s="8">
        <v>77.400000000000006</v>
      </c>
    </row>
    <row r="91" spans="2:3" x14ac:dyDescent="0.3">
      <c r="B91" s="8">
        <v>82.9</v>
      </c>
      <c r="C91" s="8">
        <v>84.7</v>
      </c>
    </row>
    <row r="92" spans="2:3" x14ac:dyDescent="0.3">
      <c r="B92" s="8">
        <v>100</v>
      </c>
      <c r="C92" s="8">
        <v>78.8</v>
      </c>
    </row>
    <row r="93" spans="2:3" x14ac:dyDescent="0.3">
      <c r="B93" s="8">
        <v>75.599999999999994</v>
      </c>
      <c r="C93" s="8">
        <v>92.7</v>
      </c>
    </row>
    <row r="94" spans="2:3" x14ac:dyDescent="0.3">
      <c r="B94" s="8">
        <v>67.5</v>
      </c>
      <c r="C94" s="8">
        <v>88.8</v>
      </c>
    </row>
    <row r="95" spans="2:3" x14ac:dyDescent="0.3">
      <c r="B95" s="8">
        <v>68.7</v>
      </c>
      <c r="C95" s="8">
        <v>86.6</v>
      </c>
    </row>
    <row r="96" spans="2:3" x14ac:dyDescent="0.3">
      <c r="B96" s="8">
        <v>76</v>
      </c>
      <c r="C96" s="8">
        <v>77.900000000000006</v>
      </c>
    </row>
    <row r="97" spans="2:3" x14ac:dyDescent="0.3">
      <c r="B97" s="8">
        <v>67.7</v>
      </c>
      <c r="C97" s="8">
        <v>86.1</v>
      </c>
    </row>
    <row r="98" spans="2:3" x14ac:dyDescent="0.3">
      <c r="B98" s="8">
        <v>75.3</v>
      </c>
      <c r="C98" s="8">
        <v>89.9</v>
      </c>
    </row>
    <row r="99" spans="2:3" x14ac:dyDescent="0.3">
      <c r="B99" s="8">
        <v>68.099999999999994</v>
      </c>
      <c r="C99" s="8">
        <v>83.1</v>
      </c>
    </row>
    <row r="100" spans="2:3" x14ac:dyDescent="0.3">
      <c r="B100" s="8">
        <v>63.3</v>
      </c>
      <c r="C100" s="8">
        <v>82.6</v>
      </c>
    </row>
  </sheetData>
  <mergeCells count="1">
    <mergeCell ref="E5:F5"/>
  </mergeCells>
  <pageMargins left="0.7" right="0.7" top="0.75" bottom="0.75" header="0.3" footer="0.3"/>
  <pageSetup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0002B-5D3A-45F6-8AA1-05A77D49D6EF}">
  <sheetPr codeName="Sheet50">
    <tabColor rgb="FFE2D0F0"/>
  </sheetPr>
  <dimension ref="B1:M58"/>
  <sheetViews>
    <sheetView showGridLines="0" workbookViewId="0">
      <selection activeCell="N14" sqref="N14"/>
    </sheetView>
  </sheetViews>
  <sheetFormatPr defaultRowHeight="14.4" x14ac:dyDescent="0.3"/>
  <cols>
    <col min="1" max="1" width="2.88671875" customWidth="1"/>
    <col min="2" max="2" width="17.109375" customWidth="1"/>
    <col min="3" max="3" width="11.44140625" customWidth="1"/>
    <col min="4" max="4" width="20.6640625" bestFit="1" customWidth="1"/>
    <col min="5" max="5" width="19.33203125" bestFit="1" customWidth="1"/>
    <col min="6" max="6" width="12.6640625" bestFit="1" customWidth="1"/>
    <col min="8" max="8" width="14.33203125" customWidth="1"/>
    <col min="9" max="9" width="17" bestFit="1" customWidth="1"/>
    <col min="10" max="10" width="11.5546875" bestFit="1" customWidth="1"/>
    <col min="11" max="11" width="21.109375" bestFit="1" customWidth="1"/>
    <col min="12" max="12" width="19.88671875" bestFit="1" customWidth="1"/>
  </cols>
  <sheetData>
    <row r="1" spans="2:13" ht="25.5" customHeight="1" x14ac:dyDescent="0.35">
      <c r="B1" s="17" t="s">
        <v>209</v>
      </c>
    </row>
    <row r="2" spans="2:13" ht="15" customHeight="1" x14ac:dyDescent="0.3">
      <c r="B2" s="27" t="s">
        <v>208</v>
      </c>
    </row>
    <row r="3" spans="2:13" ht="18" customHeight="1" x14ac:dyDescent="0.3"/>
    <row r="4" spans="2:13" x14ac:dyDescent="0.3">
      <c r="H4" s="3"/>
    </row>
    <row r="5" spans="2:13" x14ac:dyDescent="0.3">
      <c r="B5" s="39" t="s">
        <v>68</v>
      </c>
      <c r="C5" s="39" t="s">
        <v>69</v>
      </c>
      <c r="D5" s="39" t="s">
        <v>21</v>
      </c>
      <c r="E5" s="39" t="s">
        <v>22</v>
      </c>
      <c r="F5" s="37" t="s">
        <v>30</v>
      </c>
      <c r="H5" s="108" t="s">
        <v>207</v>
      </c>
      <c r="I5" s="108"/>
      <c r="J5" s="108"/>
      <c r="K5" s="108"/>
      <c r="L5" s="108"/>
    </row>
    <row r="6" spans="2:13" x14ac:dyDescent="0.3">
      <c r="B6" s="46">
        <v>68.400000000000006</v>
      </c>
      <c r="C6" s="46">
        <v>90.2</v>
      </c>
      <c r="D6" s="46">
        <v>252</v>
      </c>
      <c r="E6" s="46">
        <v>276</v>
      </c>
      <c r="F6" s="47">
        <v>111000</v>
      </c>
      <c r="I6" s="90" t="s">
        <v>68</v>
      </c>
      <c r="J6" s="19" t="s">
        <v>69</v>
      </c>
      <c r="K6" s="19" t="s">
        <v>21</v>
      </c>
      <c r="L6" s="19" t="s">
        <v>22</v>
      </c>
      <c r="M6" s="19"/>
    </row>
    <row r="7" spans="2:13" x14ac:dyDescent="0.3">
      <c r="B7" s="8">
        <v>70.2</v>
      </c>
      <c r="C7" s="8">
        <v>68.7</v>
      </c>
      <c r="D7" s="8">
        <v>101</v>
      </c>
      <c r="E7" s="8">
        <v>119</v>
      </c>
      <c r="F7" s="12">
        <v>107000</v>
      </c>
      <c r="H7" s="19" t="s">
        <v>206</v>
      </c>
      <c r="I7" s="81">
        <f>CORREL(B6:B58,$F$6:$F$58)</f>
        <v>8.8131115330406282E-2</v>
      </c>
      <c r="J7" s="81">
        <f t="shared" ref="J7:L7" si="0">CORREL(C6:C58,$F$6:$F$58)</f>
        <v>-0.21594890460773236</v>
      </c>
      <c r="K7" s="81">
        <f t="shared" si="0"/>
        <v>-3.3036156159711241E-2</v>
      </c>
      <c r="L7" s="81">
        <f t="shared" si="0"/>
        <v>-1.1767089174847936E-2</v>
      </c>
    </row>
    <row r="8" spans="2:13" x14ac:dyDescent="0.3">
      <c r="B8" s="8">
        <v>76.400000000000006</v>
      </c>
      <c r="C8" s="8">
        <v>83.3</v>
      </c>
      <c r="D8" s="8">
        <v>401</v>
      </c>
      <c r="E8" s="8">
        <v>462</v>
      </c>
      <c r="F8" s="12">
        <v>109000</v>
      </c>
    </row>
    <row r="9" spans="2:13" x14ac:dyDescent="0.3">
      <c r="B9" s="8">
        <v>82.6</v>
      </c>
      <c r="C9" s="8">
        <v>88.7</v>
      </c>
      <c r="D9" s="8">
        <v>287</v>
      </c>
      <c r="E9" s="8">
        <v>342</v>
      </c>
      <c r="F9" s="12">
        <v>148000</v>
      </c>
    </row>
    <row r="10" spans="2:13" x14ac:dyDescent="0.3">
      <c r="B10" s="8">
        <v>76.900000000000006</v>
      </c>
      <c r="C10" s="8">
        <v>75.400000000000006</v>
      </c>
      <c r="D10" s="8">
        <v>275</v>
      </c>
      <c r="E10" s="8">
        <v>347</v>
      </c>
      <c r="F10" s="12">
        <v>255500</v>
      </c>
    </row>
    <row r="11" spans="2:13" x14ac:dyDescent="0.3">
      <c r="B11" s="8">
        <v>83.3</v>
      </c>
      <c r="C11" s="8">
        <v>82.1</v>
      </c>
      <c r="D11" s="8">
        <v>254</v>
      </c>
      <c r="E11" s="8">
        <v>313</v>
      </c>
      <c r="F11" s="12">
        <v>103500</v>
      </c>
    </row>
    <row r="12" spans="2:13" x14ac:dyDescent="0.3">
      <c r="B12" s="8">
        <v>76</v>
      </c>
      <c r="C12" s="8">
        <v>66.900000000000006</v>
      </c>
      <c r="D12" s="8">
        <v>117</v>
      </c>
      <c r="E12" s="8">
        <v>163</v>
      </c>
      <c r="F12" s="12">
        <v>114500</v>
      </c>
    </row>
    <row r="13" spans="2:13" x14ac:dyDescent="0.3">
      <c r="B13" s="8">
        <v>82.8</v>
      </c>
      <c r="C13" s="8">
        <v>76.8</v>
      </c>
      <c r="D13" s="8">
        <v>219</v>
      </c>
      <c r="E13" s="8">
        <v>304</v>
      </c>
      <c r="F13" s="12">
        <v>124000</v>
      </c>
    </row>
    <row r="14" spans="2:13" x14ac:dyDescent="0.3">
      <c r="B14" s="8">
        <v>76</v>
      </c>
      <c r="C14" s="8">
        <v>72.3</v>
      </c>
      <c r="D14" s="8">
        <v>152</v>
      </c>
      <c r="E14" s="8">
        <v>211</v>
      </c>
      <c r="F14" s="12">
        <v>132500</v>
      </c>
    </row>
    <row r="15" spans="2:13" x14ac:dyDescent="0.3">
      <c r="B15" s="8">
        <v>76.900000000000006</v>
      </c>
      <c r="C15" s="8">
        <v>72.400000000000006</v>
      </c>
      <c r="D15" s="8">
        <v>228</v>
      </c>
      <c r="E15" s="8">
        <v>286</v>
      </c>
      <c r="F15" s="12">
        <v>99000</v>
      </c>
    </row>
    <row r="16" spans="2:13" x14ac:dyDescent="0.3">
      <c r="B16" s="8">
        <v>78</v>
      </c>
      <c r="C16" s="8">
        <v>81</v>
      </c>
      <c r="D16" s="8">
        <v>393</v>
      </c>
      <c r="E16" s="8">
        <v>443</v>
      </c>
      <c r="F16" s="12">
        <v>124000</v>
      </c>
    </row>
    <row r="17" spans="2:6" x14ac:dyDescent="0.3">
      <c r="B17" s="8">
        <v>78</v>
      </c>
      <c r="C17" s="8">
        <v>77.8</v>
      </c>
      <c r="D17" s="8">
        <v>182</v>
      </c>
      <c r="E17" s="8">
        <v>237</v>
      </c>
      <c r="F17" s="12">
        <v>82000</v>
      </c>
    </row>
    <row r="18" spans="2:6" x14ac:dyDescent="0.3">
      <c r="B18" s="8">
        <v>82.6</v>
      </c>
      <c r="C18" s="8">
        <v>79.099999999999994</v>
      </c>
      <c r="D18" s="8">
        <v>164</v>
      </c>
      <c r="E18" s="8">
        <v>236</v>
      </c>
      <c r="F18" s="12">
        <v>185000</v>
      </c>
    </row>
    <row r="19" spans="2:6" x14ac:dyDescent="0.3">
      <c r="B19" s="8">
        <v>79.2</v>
      </c>
      <c r="C19" s="8">
        <v>77.8</v>
      </c>
      <c r="D19" s="8">
        <v>186</v>
      </c>
      <c r="E19" s="8">
        <v>251</v>
      </c>
      <c r="F19" s="12">
        <v>89500</v>
      </c>
    </row>
    <row r="20" spans="2:6" x14ac:dyDescent="0.3">
      <c r="B20" s="8">
        <v>75</v>
      </c>
      <c r="C20" s="8">
        <v>75.099999999999994</v>
      </c>
      <c r="D20" s="8">
        <v>235</v>
      </c>
      <c r="E20" s="8">
        <v>283</v>
      </c>
      <c r="F20" s="12">
        <v>91500</v>
      </c>
    </row>
    <row r="21" spans="2:6" x14ac:dyDescent="0.3">
      <c r="B21" s="8">
        <v>76.8</v>
      </c>
      <c r="C21" s="8">
        <v>70.8</v>
      </c>
      <c r="D21" s="8">
        <v>126</v>
      </c>
      <c r="E21" s="8">
        <v>180</v>
      </c>
      <c r="F21" s="12">
        <v>113500</v>
      </c>
    </row>
    <row r="22" spans="2:6" x14ac:dyDescent="0.3">
      <c r="B22" s="8">
        <v>79.900000000000006</v>
      </c>
      <c r="C22" s="8">
        <v>79.599999999999994</v>
      </c>
      <c r="D22" s="8">
        <v>181</v>
      </c>
      <c r="E22" s="8">
        <v>253</v>
      </c>
      <c r="F22" s="12">
        <v>99000</v>
      </c>
    </row>
    <row r="23" spans="2:6" x14ac:dyDescent="0.3">
      <c r="B23" s="8">
        <v>83.4</v>
      </c>
      <c r="C23" s="8">
        <v>85.9</v>
      </c>
      <c r="D23" s="8">
        <v>216</v>
      </c>
      <c r="E23" s="8">
        <v>291</v>
      </c>
      <c r="F23" s="12">
        <v>75500</v>
      </c>
    </row>
    <row r="24" spans="2:6" x14ac:dyDescent="0.3">
      <c r="B24" s="8">
        <v>79.2</v>
      </c>
      <c r="C24" s="8">
        <v>82.3</v>
      </c>
      <c r="D24" s="8">
        <v>289</v>
      </c>
      <c r="E24" s="8">
        <v>368</v>
      </c>
      <c r="F24" s="12">
        <v>86000</v>
      </c>
    </row>
    <row r="25" spans="2:6" x14ac:dyDescent="0.3">
      <c r="B25" s="8">
        <v>78.5</v>
      </c>
      <c r="C25" s="8">
        <v>79.2</v>
      </c>
      <c r="D25" s="8">
        <v>332</v>
      </c>
      <c r="E25" s="8">
        <v>396</v>
      </c>
      <c r="F25" s="12">
        <v>156500</v>
      </c>
    </row>
    <row r="26" spans="2:6" x14ac:dyDescent="0.3">
      <c r="B26" s="8">
        <v>83</v>
      </c>
      <c r="C26" s="8">
        <v>83.4</v>
      </c>
      <c r="D26" s="8">
        <v>249</v>
      </c>
      <c r="E26" s="8">
        <v>339</v>
      </c>
      <c r="F26" s="12">
        <v>99500</v>
      </c>
    </row>
    <row r="27" spans="2:6" x14ac:dyDescent="0.3">
      <c r="B27" s="8">
        <v>75.2</v>
      </c>
      <c r="C27" s="8">
        <v>85.2</v>
      </c>
      <c r="D27" s="8">
        <v>228</v>
      </c>
      <c r="E27" s="8">
        <v>286</v>
      </c>
      <c r="F27" s="12">
        <v>148000</v>
      </c>
    </row>
    <row r="28" spans="2:6" x14ac:dyDescent="0.3">
      <c r="B28" s="8">
        <v>93.6</v>
      </c>
      <c r="C28" s="8">
        <v>80.2</v>
      </c>
      <c r="D28" s="8">
        <v>194</v>
      </c>
      <c r="E28" s="8">
        <v>315</v>
      </c>
      <c r="F28" s="12">
        <v>82000</v>
      </c>
    </row>
    <row r="29" spans="2:6" x14ac:dyDescent="0.3">
      <c r="B29" s="8">
        <v>82.3</v>
      </c>
      <c r="C29" s="8">
        <v>87.2</v>
      </c>
      <c r="D29" s="8">
        <v>402</v>
      </c>
      <c r="E29" s="8">
        <v>481</v>
      </c>
      <c r="F29" s="12">
        <v>103500</v>
      </c>
    </row>
    <row r="30" spans="2:6" x14ac:dyDescent="0.3">
      <c r="B30" s="8">
        <v>71.900000000000006</v>
      </c>
      <c r="C30" s="8">
        <v>73.5</v>
      </c>
      <c r="D30" s="8">
        <v>181</v>
      </c>
      <c r="E30" s="8">
        <v>225</v>
      </c>
      <c r="F30" s="12">
        <v>205500</v>
      </c>
    </row>
    <row r="31" spans="2:6" x14ac:dyDescent="0.3">
      <c r="B31" s="8">
        <v>79.099999999999994</v>
      </c>
      <c r="C31" s="8">
        <v>74.599999999999994</v>
      </c>
      <c r="D31" s="8">
        <v>157</v>
      </c>
      <c r="E31" s="8">
        <v>217</v>
      </c>
      <c r="F31" s="12">
        <v>103500</v>
      </c>
    </row>
    <row r="32" spans="2:6" x14ac:dyDescent="0.3">
      <c r="B32" s="8">
        <v>88.7</v>
      </c>
      <c r="C32" s="8">
        <v>75.099999999999994</v>
      </c>
      <c r="D32" s="8">
        <v>266</v>
      </c>
      <c r="E32" s="8">
        <v>353</v>
      </c>
      <c r="F32" s="12">
        <v>340000</v>
      </c>
    </row>
    <row r="33" spans="2:6" x14ac:dyDescent="0.3">
      <c r="B33" s="8">
        <v>80.3</v>
      </c>
      <c r="C33" s="8">
        <v>74.900000000000006</v>
      </c>
      <c r="D33" s="8">
        <v>167</v>
      </c>
      <c r="E33" s="8">
        <v>247</v>
      </c>
      <c r="F33" s="12">
        <v>103500</v>
      </c>
    </row>
    <row r="34" spans="2:6" x14ac:dyDescent="0.3">
      <c r="B34" s="8">
        <v>83</v>
      </c>
      <c r="C34" s="8">
        <v>84.6</v>
      </c>
      <c r="D34" s="8">
        <v>342</v>
      </c>
      <c r="E34" s="8">
        <v>410</v>
      </c>
      <c r="F34" s="12">
        <v>99500</v>
      </c>
    </row>
    <row r="35" spans="2:6" x14ac:dyDescent="0.3">
      <c r="B35" s="8">
        <v>74.099999999999994</v>
      </c>
      <c r="C35" s="8">
        <v>81.7</v>
      </c>
      <c r="D35" s="8">
        <v>349</v>
      </c>
      <c r="E35" s="8">
        <v>395</v>
      </c>
      <c r="F35" s="12">
        <v>103000</v>
      </c>
    </row>
    <row r="36" spans="2:6" x14ac:dyDescent="0.3">
      <c r="B36" s="8">
        <v>79.400000000000006</v>
      </c>
      <c r="C36" s="8">
        <v>81.400000000000006</v>
      </c>
      <c r="D36" s="8">
        <v>340</v>
      </c>
      <c r="E36" s="8">
        <v>416</v>
      </c>
      <c r="F36" s="12">
        <v>103500</v>
      </c>
    </row>
    <row r="37" spans="2:6" x14ac:dyDescent="0.3">
      <c r="B37" s="8">
        <v>88.1</v>
      </c>
      <c r="C37" s="8">
        <v>83.8</v>
      </c>
      <c r="D37" s="8">
        <v>227</v>
      </c>
      <c r="E37" s="8">
        <v>342</v>
      </c>
      <c r="F37" s="12">
        <v>165000</v>
      </c>
    </row>
    <row r="38" spans="2:6" x14ac:dyDescent="0.3">
      <c r="B38" s="8">
        <v>74.599999999999994</v>
      </c>
      <c r="C38" s="8">
        <v>88.5</v>
      </c>
      <c r="D38" s="8">
        <v>409</v>
      </c>
      <c r="E38" s="8">
        <v>446</v>
      </c>
      <c r="F38" s="12">
        <v>124500</v>
      </c>
    </row>
    <row r="39" spans="2:6" x14ac:dyDescent="0.3">
      <c r="B39" s="8">
        <v>87.1</v>
      </c>
      <c r="C39" s="8">
        <v>84.9</v>
      </c>
      <c r="D39" s="8">
        <v>400</v>
      </c>
      <c r="E39" s="8">
        <v>477</v>
      </c>
      <c r="F39" s="12">
        <v>103500</v>
      </c>
    </row>
    <row r="40" spans="2:6" x14ac:dyDescent="0.3">
      <c r="B40" s="8">
        <v>79.7</v>
      </c>
      <c r="C40" s="8">
        <v>84.3</v>
      </c>
      <c r="D40" s="8">
        <v>374</v>
      </c>
      <c r="E40" s="8">
        <v>444</v>
      </c>
      <c r="F40" s="12">
        <v>82500</v>
      </c>
    </row>
    <row r="41" spans="2:6" x14ac:dyDescent="0.3">
      <c r="B41" s="8">
        <v>82.1</v>
      </c>
      <c r="C41" s="8">
        <v>78.2</v>
      </c>
      <c r="D41" s="8">
        <v>255</v>
      </c>
      <c r="E41" s="8">
        <v>351</v>
      </c>
      <c r="F41" s="12">
        <v>93000</v>
      </c>
    </row>
    <row r="42" spans="2:6" x14ac:dyDescent="0.3">
      <c r="B42" s="8">
        <v>81.7</v>
      </c>
      <c r="C42" s="8">
        <v>74.8</v>
      </c>
      <c r="D42" s="8">
        <v>248</v>
      </c>
      <c r="E42" s="8">
        <v>317</v>
      </c>
      <c r="F42" s="12">
        <v>168000</v>
      </c>
    </row>
    <row r="43" spans="2:6" x14ac:dyDescent="0.3">
      <c r="B43" s="8">
        <v>76.099999999999994</v>
      </c>
      <c r="C43" s="8">
        <v>78.5</v>
      </c>
      <c r="D43" s="8">
        <v>198</v>
      </c>
      <c r="E43" s="8">
        <v>250</v>
      </c>
      <c r="F43" s="12">
        <v>96000</v>
      </c>
    </row>
    <row r="44" spans="2:6" x14ac:dyDescent="0.3">
      <c r="B44" s="8">
        <v>75.3</v>
      </c>
      <c r="C44" s="8">
        <v>82.7</v>
      </c>
      <c r="D44" s="8">
        <v>239</v>
      </c>
      <c r="E44" s="8">
        <v>302</v>
      </c>
      <c r="F44" s="12">
        <v>80000</v>
      </c>
    </row>
    <row r="45" spans="2:6" x14ac:dyDescent="0.3">
      <c r="B45" s="8">
        <v>75.7</v>
      </c>
      <c r="C45" s="8">
        <v>84</v>
      </c>
      <c r="D45" s="8">
        <v>340</v>
      </c>
      <c r="E45" s="8">
        <v>373</v>
      </c>
      <c r="F45" s="12">
        <v>124500</v>
      </c>
    </row>
    <row r="46" spans="2:6" x14ac:dyDescent="0.3">
      <c r="B46" s="8">
        <v>70.400000000000006</v>
      </c>
      <c r="C46" s="8">
        <v>78.2</v>
      </c>
      <c r="D46" s="8">
        <v>263</v>
      </c>
      <c r="E46" s="8">
        <v>306</v>
      </c>
      <c r="F46" s="12">
        <v>99000</v>
      </c>
    </row>
    <row r="47" spans="2:6" x14ac:dyDescent="0.3">
      <c r="B47" s="8">
        <v>66.3</v>
      </c>
      <c r="C47" s="8">
        <v>79.7</v>
      </c>
      <c r="D47" s="8">
        <v>301</v>
      </c>
      <c r="E47" s="8">
        <v>338</v>
      </c>
      <c r="F47" s="12">
        <v>124000</v>
      </c>
    </row>
    <row r="48" spans="2:6" x14ac:dyDescent="0.3">
      <c r="B48" s="8">
        <v>66</v>
      </c>
      <c r="C48" s="8">
        <v>78.5</v>
      </c>
      <c r="D48" s="8">
        <v>160</v>
      </c>
      <c r="E48" s="8">
        <v>183</v>
      </c>
      <c r="F48" s="12">
        <v>91500</v>
      </c>
    </row>
    <row r="49" spans="2:6" x14ac:dyDescent="0.3">
      <c r="B49" s="8">
        <v>78.900000000000006</v>
      </c>
      <c r="C49" s="8">
        <v>72</v>
      </c>
      <c r="D49" s="8">
        <v>218</v>
      </c>
      <c r="E49" s="8">
        <v>274</v>
      </c>
      <c r="F49" s="12">
        <v>144500</v>
      </c>
    </row>
    <row r="50" spans="2:6" x14ac:dyDescent="0.3">
      <c r="B50" s="8">
        <v>79.3</v>
      </c>
      <c r="C50" s="8">
        <v>80.7</v>
      </c>
      <c r="D50" s="8">
        <v>236</v>
      </c>
      <c r="E50" s="8">
        <v>309</v>
      </c>
      <c r="F50" s="12">
        <v>114500</v>
      </c>
    </row>
    <row r="51" spans="2:6" x14ac:dyDescent="0.3">
      <c r="B51" s="8">
        <v>88.8</v>
      </c>
      <c r="C51" s="8">
        <v>87.4</v>
      </c>
      <c r="D51" s="8">
        <v>354</v>
      </c>
      <c r="E51" s="8">
        <v>458</v>
      </c>
      <c r="F51" s="12">
        <v>104500</v>
      </c>
    </row>
    <row r="52" spans="2:6" x14ac:dyDescent="0.3">
      <c r="B52" s="8">
        <v>66</v>
      </c>
      <c r="C52" s="8">
        <v>77.400000000000006</v>
      </c>
      <c r="D52" s="8">
        <v>214</v>
      </c>
      <c r="E52" s="8">
        <v>234</v>
      </c>
      <c r="F52" s="12">
        <v>124000</v>
      </c>
    </row>
    <row r="53" spans="2:6" x14ac:dyDescent="0.3">
      <c r="B53" s="8">
        <v>82.9</v>
      </c>
      <c r="C53" s="8">
        <v>84.7</v>
      </c>
      <c r="D53" s="8">
        <v>225</v>
      </c>
      <c r="E53" s="8">
        <v>306</v>
      </c>
      <c r="F53" s="12">
        <v>113000</v>
      </c>
    </row>
    <row r="54" spans="2:6" x14ac:dyDescent="0.3">
      <c r="B54" s="8">
        <v>100</v>
      </c>
      <c r="C54" s="8">
        <v>78.8</v>
      </c>
      <c r="D54" s="8">
        <v>261</v>
      </c>
      <c r="E54" s="8">
        <v>400</v>
      </c>
      <c r="F54" s="12">
        <v>78000</v>
      </c>
    </row>
    <row r="55" spans="2:6" x14ac:dyDescent="0.3">
      <c r="B55" s="8">
        <v>67.5</v>
      </c>
      <c r="C55" s="8">
        <v>88.8</v>
      </c>
      <c r="D55" s="8">
        <v>282</v>
      </c>
      <c r="E55" s="8">
        <v>325</v>
      </c>
      <c r="F55" s="12">
        <v>109000</v>
      </c>
    </row>
    <row r="56" spans="2:6" x14ac:dyDescent="0.3">
      <c r="B56" s="8">
        <v>76</v>
      </c>
      <c r="C56" s="8">
        <v>77.900000000000006</v>
      </c>
      <c r="D56" s="8">
        <v>326</v>
      </c>
      <c r="E56" s="8">
        <v>369</v>
      </c>
      <c r="F56" s="12">
        <v>99500</v>
      </c>
    </row>
    <row r="57" spans="2:6" x14ac:dyDescent="0.3">
      <c r="B57" s="8">
        <v>67.7</v>
      </c>
      <c r="C57" s="8">
        <v>86.1</v>
      </c>
      <c r="D57" s="8">
        <v>421</v>
      </c>
      <c r="E57" s="8">
        <v>457</v>
      </c>
      <c r="F57" s="12">
        <v>107000</v>
      </c>
    </row>
    <row r="58" spans="2:6" x14ac:dyDescent="0.3">
      <c r="B58" s="8">
        <v>68.099999999999994</v>
      </c>
      <c r="C58" s="8">
        <v>83.1</v>
      </c>
      <c r="D58" s="8">
        <v>279</v>
      </c>
      <c r="E58" s="8">
        <v>282</v>
      </c>
      <c r="F58" s="12">
        <v>84000</v>
      </c>
    </row>
  </sheetData>
  <mergeCells count="1">
    <mergeCell ref="H5:L5"/>
  </mergeCells>
  <pageMargins left="0.7" right="0.7" top="0.75" bottom="0.75" header="0.3" footer="0.3"/>
  <pageSetup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CACE1-1D95-4229-906E-60D7CBE76054}">
  <sheetPr codeName="Sheet52">
    <tabColor rgb="FFEFE5F7"/>
  </sheetPr>
  <dimension ref="B1:N100"/>
  <sheetViews>
    <sheetView showGridLines="0" zoomScaleNormal="100" workbookViewId="0">
      <selection activeCell="L8" sqref="L8"/>
    </sheetView>
  </sheetViews>
  <sheetFormatPr defaultRowHeight="14.4" x14ac:dyDescent="0.3"/>
  <cols>
    <col min="1" max="1" width="2.88671875" customWidth="1"/>
    <col min="2" max="2" width="20.6640625" bestFit="1" customWidth="1"/>
    <col min="3" max="3" width="19.33203125" bestFit="1" customWidth="1"/>
    <col min="5" max="5" width="14.33203125" customWidth="1"/>
    <col min="6" max="6" width="9.109375" customWidth="1"/>
    <col min="8" max="8" width="11.44140625" customWidth="1"/>
  </cols>
  <sheetData>
    <row r="1" spans="2:14" ht="25.5" customHeight="1" x14ac:dyDescent="0.35">
      <c r="B1" s="17" t="s">
        <v>218</v>
      </c>
    </row>
    <row r="2" spans="2:14" ht="15" customHeight="1" x14ac:dyDescent="0.3">
      <c r="B2" s="27" t="s">
        <v>212</v>
      </c>
    </row>
    <row r="3" spans="2:14" ht="18" customHeight="1" x14ac:dyDescent="0.3"/>
    <row r="4" spans="2:14" x14ac:dyDescent="0.3">
      <c r="E4" s="3"/>
    </row>
    <row r="5" spans="2:14" x14ac:dyDescent="0.3">
      <c r="B5" s="39" t="s">
        <v>21</v>
      </c>
      <c r="C5" s="39" t="s">
        <v>22</v>
      </c>
      <c r="E5" s="108" t="s">
        <v>205</v>
      </c>
      <c r="F5" s="108"/>
      <c r="H5" s="108" t="s">
        <v>216</v>
      </c>
      <c r="I5" s="108"/>
      <c r="K5" s="108" t="s">
        <v>215</v>
      </c>
      <c r="L5" s="108"/>
    </row>
    <row r="6" spans="2:14" x14ac:dyDescent="0.3">
      <c r="B6" s="46">
        <v>252</v>
      </c>
      <c r="C6" s="46">
        <v>276</v>
      </c>
      <c r="E6" s="19" t="s">
        <v>206</v>
      </c>
      <c r="F6" s="81">
        <f>PEARSON(B6:B100,C6:C100)</f>
        <v>0.94886589689776391</v>
      </c>
      <c r="H6" s="19" t="s">
        <v>213</v>
      </c>
      <c r="I6" s="69">
        <f>INTERCEPT(C6:C100,B6:B100)</f>
        <v>41.63016671209175</v>
      </c>
      <c r="K6" s="19" t="s">
        <v>210</v>
      </c>
      <c r="L6" s="65">
        <v>200</v>
      </c>
      <c r="N6" s="93"/>
    </row>
    <row r="7" spans="2:14" x14ac:dyDescent="0.3">
      <c r="B7" s="8">
        <v>423</v>
      </c>
      <c r="C7" s="8">
        <v>410</v>
      </c>
      <c r="H7" s="19" t="s">
        <v>214</v>
      </c>
      <c r="I7" s="81">
        <f>SLOPE(C6:C100,B6:B100)</f>
        <v>1.0325625976197308</v>
      </c>
      <c r="K7" s="19" t="s">
        <v>211</v>
      </c>
      <c r="L7" s="66">
        <f>_xlfn.FORECAST.LINEAR(L6,C6:C100,B6:B100)</f>
        <v>248.14268623603792</v>
      </c>
    </row>
    <row r="8" spans="2:14" x14ac:dyDescent="0.3">
      <c r="B8" s="8">
        <v>101</v>
      </c>
      <c r="C8" s="8">
        <v>119</v>
      </c>
    </row>
    <row r="9" spans="2:14" x14ac:dyDescent="0.3">
      <c r="B9" s="8">
        <v>288</v>
      </c>
      <c r="C9" s="8">
        <v>334</v>
      </c>
    </row>
    <row r="10" spans="2:14" x14ac:dyDescent="0.3">
      <c r="B10" s="8">
        <v>248</v>
      </c>
      <c r="C10" s="8">
        <v>252</v>
      </c>
    </row>
    <row r="11" spans="2:14" x14ac:dyDescent="0.3">
      <c r="B11" s="8">
        <v>145</v>
      </c>
      <c r="C11" s="8">
        <v>209</v>
      </c>
    </row>
    <row r="12" spans="2:14" x14ac:dyDescent="0.3">
      <c r="B12" s="8">
        <v>401</v>
      </c>
      <c r="C12" s="8">
        <v>462</v>
      </c>
    </row>
    <row r="13" spans="2:14" x14ac:dyDescent="0.3">
      <c r="B13" s="8">
        <v>287</v>
      </c>
      <c r="C13" s="8">
        <v>342</v>
      </c>
    </row>
    <row r="14" spans="2:14" x14ac:dyDescent="0.3">
      <c r="B14" s="8">
        <v>275</v>
      </c>
      <c r="C14" s="8">
        <v>347</v>
      </c>
    </row>
    <row r="15" spans="2:14" x14ac:dyDescent="0.3">
      <c r="B15" s="8">
        <v>254</v>
      </c>
      <c r="C15" s="8">
        <v>313</v>
      </c>
    </row>
    <row r="16" spans="2:14" x14ac:dyDescent="0.3">
      <c r="B16" s="8">
        <v>182</v>
      </c>
      <c r="C16" s="8">
        <v>232</v>
      </c>
    </row>
    <row r="17" spans="2:3" x14ac:dyDescent="0.3">
      <c r="B17" s="8">
        <v>117</v>
      </c>
      <c r="C17" s="8">
        <v>163</v>
      </c>
    </row>
    <row r="18" spans="2:3" x14ac:dyDescent="0.3">
      <c r="B18" s="8">
        <v>130</v>
      </c>
      <c r="C18" s="8">
        <v>119</v>
      </c>
    </row>
    <row r="19" spans="2:3" x14ac:dyDescent="0.3">
      <c r="B19" s="8">
        <v>219</v>
      </c>
      <c r="C19" s="8">
        <v>304</v>
      </c>
    </row>
    <row r="20" spans="2:3" x14ac:dyDescent="0.3">
      <c r="B20" s="8">
        <v>152</v>
      </c>
      <c r="C20" s="8">
        <v>211</v>
      </c>
    </row>
    <row r="21" spans="2:3" x14ac:dyDescent="0.3">
      <c r="B21" s="8">
        <v>228</v>
      </c>
      <c r="C21" s="8">
        <v>286</v>
      </c>
    </row>
    <row r="22" spans="2:3" x14ac:dyDescent="0.3">
      <c r="B22" s="8">
        <v>62</v>
      </c>
      <c r="C22" s="8">
        <v>122</v>
      </c>
    </row>
    <row r="23" spans="2:3" x14ac:dyDescent="0.3">
      <c r="B23" s="8">
        <v>393</v>
      </c>
      <c r="C23" s="8">
        <v>443</v>
      </c>
    </row>
    <row r="24" spans="2:3" x14ac:dyDescent="0.3">
      <c r="B24" s="8">
        <v>277</v>
      </c>
      <c r="C24" s="8">
        <v>366</v>
      </c>
    </row>
    <row r="25" spans="2:3" x14ac:dyDescent="0.3">
      <c r="B25" s="8">
        <v>206</v>
      </c>
      <c r="C25" s="8">
        <v>244</v>
      </c>
    </row>
    <row r="26" spans="2:3" x14ac:dyDescent="0.3">
      <c r="B26" s="8">
        <v>229</v>
      </c>
      <c r="C26" s="8">
        <v>241</v>
      </c>
    </row>
    <row r="27" spans="2:3" x14ac:dyDescent="0.3">
      <c r="B27" s="8">
        <v>182</v>
      </c>
      <c r="C27" s="8">
        <v>237</v>
      </c>
    </row>
    <row r="28" spans="2:3" x14ac:dyDescent="0.3">
      <c r="B28" s="8">
        <v>98</v>
      </c>
      <c r="C28" s="8">
        <v>122</v>
      </c>
    </row>
    <row r="29" spans="2:3" x14ac:dyDescent="0.3">
      <c r="B29" s="8">
        <v>125</v>
      </c>
      <c r="C29" s="8">
        <v>129</v>
      </c>
    </row>
    <row r="30" spans="2:3" x14ac:dyDescent="0.3">
      <c r="B30" s="8">
        <v>164</v>
      </c>
      <c r="C30" s="8">
        <v>236</v>
      </c>
    </row>
    <row r="31" spans="2:3" x14ac:dyDescent="0.3">
      <c r="B31" s="8">
        <v>186</v>
      </c>
      <c r="C31" s="8">
        <v>251</v>
      </c>
    </row>
    <row r="32" spans="2:3" x14ac:dyDescent="0.3">
      <c r="B32" s="8">
        <v>235</v>
      </c>
      <c r="C32" s="8">
        <v>283</v>
      </c>
    </row>
    <row r="33" spans="2:3" x14ac:dyDescent="0.3">
      <c r="B33" s="8">
        <v>184</v>
      </c>
      <c r="C33" s="8">
        <v>225</v>
      </c>
    </row>
    <row r="34" spans="2:3" x14ac:dyDescent="0.3">
      <c r="B34" s="8">
        <v>76</v>
      </c>
      <c r="C34" s="8">
        <v>102</v>
      </c>
    </row>
    <row r="35" spans="2:3" x14ac:dyDescent="0.3">
      <c r="B35" s="8">
        <v>126</v>
      </c>
      <c r="C35" s="8">
        <v>180</v>
      </c>
    </row>
    <row r="36" spans="2:3" x14ac:dyDescent="0.3">
      <c r="B36" s="8">
        <v>183</v>
      </c>
      <c r="C36" s="8">
        <v>247</v>
      </c>
    </row>
    <row r="37" spans="2:3" x14ac:dyDescent="0.3">
      <c r="B37" s="8">
        <v>242</v>
      </c>
      <c r="C37" s="8">
        <v>343</v>
      </c>
    </row>
    <row r="38" spans="2:3" x14ac:dyDescent="0.3">
      <c r="B38" s="8">
        <v>207</v>
      </c>
      <c r="C38" s="8">
        <v>283</v>
      </c>
    </row>
    <row r="39" spans="2:3" x14ac:dyDescent="0.3">
      <c r="B39" s="8">
        <v>181</v>
      </c>
      <c r="C39" s="8">
        <v>253</v>
      </c>
    </row>
    <row r="40" spans="2:3" x14ac:dyDescent="0.3">
      <c r="B40" s="8">
        <v>239</v>
      </c>
      <c r="C40" s="8">
        <v>263</v>
      </c>
    </row>
    <row r="41" spans="2:3" x14ac:dyDescent="0.3">
      <c r="B41" s="8">
        <v>216</v>
      </c>
      <c r="C41" s="8">
        <v>291</v>
      </c>
    </row>
    <row r="42" spans="2:3" x14ac:dyDescent="0.3">
      <c r="B42" s="8">
        <v>289</v>
      </c>
      <c r="C42" s="8">
        <v>368</v>
      </c>
    </row>
    <row r="43" spans="2:3" x14ac:dyDescent="0.3">
      <c r="B43" s="8">
        <v>213</v>
      </c>
      <c r="C43" s="8">
        <v>206</v>
      </c>
    </row>
    <row r="44" spans="2:3" x14ac:dyDescent="0.3">
      <c r="B44" s="8">
        <v>209</v>
      </c>
      <c r="C44" s="8">
        <v>231</v>
      </c>
    </row>
    <row r="45" spans="2:3" x14ac:dyDescent="0.3">
      <c r="B45" s="8">
        <v>376</v>
      </c>
      <c r="C45" s="8">
        <v>389</v>
      </c>
    </row>
    <row r="46" spans="2:3" x14ac:dyDescent="0.3">
      <c r="B46" s="8">
        <v>332</v>
      </c>
      <c r="C46" s="8">
        <v>396</v>
      </c>
    </row>
    <row r="47" spans="2:3" x14ac:dyDescent="0.3">
      <c r="B47" s="8">
        <v>249</v>
      </c>
      <c r="C47" s="8">
        <v>339</v>
      </c>
    </row>
    <row r="48" spans="2:3" x14ac:dyDescent="0.3">
      <c r="B48" s="8">
        <v>228</v>
      </c>
      <c r="C48" s="8">
        <v>286</v>
      </c>
    </row>
    <row r="49" spans="2:3" x14ac:dyDescent="0.3">
      <c r="B49" s="8">
        <v>124</v>
      </c>
      <c r="C49" s="8">
        <v>146</v>
      </c>
    </row>
    <row r="50" spans="2:3" x14ac:dyDescent="0.3">
      <c r="B50" s="8">
        <v>194</v>
      </c>
      <c r="C50" s="8">
        <v>315</v>
      </c>
    </row>
    <row r="51" spans="2:3" x14ac:dyDescent="0.3">
      <c r="B51" s="8">
        <v>157</v>
      </c>
      <c r="C51" s="8">
        <v>183</v>
      </c>
    </row>
    <row r="52" spans="2:3" x14ac:dyDescent="0.3">
      <c r="B52" s="8">
        <v>402</v>
      </c>
      <c r="C52" s="8">
        <v>481</v>
      </c>
    </row>
    <row r="53" spans="2:3" x14ac:dyDescent="0.3">
      <c r="B53" s="8">
        <v>323</v>
      </c>
      <c r="C53" s="8">
        <v>349</v>
      </c>
    </row>
    <row r="54" spans="2:3" x14ac:dyDescent="0.3">
      <c r="B54" s="8">
        <v>181</v>
      </c>
      <c r="C54" s="8">
        <v>225</v>
      </c>
    </row>
    <row r="55" spans="2:3" x14ac:dyDescent="0.3">
      <c r="B55" s="8">
        <v>157</v>
      </c>
      <c r="C55" s="8">
        <v>217</v>
      </c>
    </row>
    <row r="56" spans="2:3" x14ac:dyDescent="0.3">
      <c r="B56" s="8">
        <v>266</v>
      </c>
      <c r="C56" s="8">
        <v>353</v>
      </c>
    </row>
    <row r="57" spans="2:3" x14ac:dyDescent="0.3">
      <c r="B57" s="8">
        <v>268</v>
      </c>
      <c r="C57" s="8">
        <v>314</v>
      </c>
    </row>
    <row r="58" spans="2:3" x14ac:dyDescent="0.3">
      <c r="B58" s="8">
        <v>167</v>
      </c>
      <c r="C58" s="8">
        <v>247</v>
      </c>
    </row>
    <row r="59" spans="2:3" x14ac:dyDescent="0.3">
      <c r="B59" s="8">
        <v>342</v>
      </c>
      <c r="C59" s="8">
        <v>410</v>
      </c>
    </row>
    <row r="60" spans="2:3" x14ac:dyDescent="0.3">
      <c r="B60" s="8">
        <v>349</v>
      </c>
      <c r="C60" s="8">
        <v>395</v>
      </c>
    </row>
    <row r="61" spans="2:3" x14ac:dyDescent="0.3">
      <c r="B61" s="8">
        <v>340</v>
      </c>
      <c r="C61" s="8">
        <v>416</v>
      </c>
    </row>
    <row r="62" spans="2:3" x14ac:dyDescent="0.3">
      <c r="B62" s="8">
        <v>227</v>
      </c>
      <c r="C62" s="8">
        <v>342</v>
      </c>
    </row>
    <row r="63" spans="2:3" x14ac:dyDescent="0.3">
      <c r="B63" s="8">
        <v>409</v>
      </c>
      <c r="C63" s="8">
        <v>446</v>
      </c>
    </row>
    <row r="64" spans="2:3" x14ac:dyDescent="0.3">
      <c r="B64" s="8">
        <v>400</v>
      </c>
      <c r="C64" s="8">
        <v>477</v>
      </c>
    </row>
    <row r="65" spans="2:3" x14ac:dyDescent="0.3">
      <c r="B65" s="8">
        <v>374</v>
      </c>
      <c r="C65" s="8">
        <v>444</v>
      </c>
    </row>
    <row r="66" spans="2:3" x14ac:dyDescent="0.3">
      <c r="B66" s="8">
        <v>255</v>
      </c>
      <c r="C66" s="8">
        <v>351</v>
      </c>
    </row>
    <row r="67" spans="2:3" x14ac:dyDescent="0.3">
      <c r="B67" s="8">
        <v>146</v>
      </c>
      <c r="C67" s="8">
        <v>165</v>
      </c>
    </row>
    <row r="68" spans="2:3" x14ac:dyDescent="0.3">
      <c r="B68" s="8">
        <v>248</v>
      </c>
      <c r="C68" s="8">
        <v>317</v>
      </c>
    </row>
    <row r="69" spans="2:3" x14ac:dyDescent="0.3">
      <c r="B69" s="8">
        <v>198</v>
      </c>
      <c r="C69" s="8">
        <v>250</v>
      </c>
    </row>
    <row r="70" spans="2:3" x14ac:dyDescent="0.3">
      <c r="B70" s="8">
        <v>210</v>
      </c>
      <c r="C70" s="8">
        <v>217</v>
      </c>
    </row>
    <row r="71" spans="2:3" x14ac:dyDescent="0.3">
      <c r="B71" s="8">
        <v>107</v>
      </c>
      <c r="C71" s="8">
        <v>138</v>
      </c>
    </row>
    <row r="72" spans="2:3" x14ac:dyDescent="0.3">
      <c r="B72" s="8">
        <v>239</v>
      </c>
      <c r="C72" s="8">
        <v>302</v>
      </c>
    </row>
    <row r="73" spans="2:3" x14ac:dyDescent="0.3">
      <c r="B73" s="8">
        <v>287</v>
      </c>
      <c r="C73" s="8">
        <v>311</v>
      </c>
    </row>
    <row r="74" spans="2:3" x14ac:dyDescent="0.3">
      <c r="B74" s="8">
        <v>340</v>
      </c>
      <c r="C74" s="8">
        <v>373</v>
      </c>
    </row>
    <row r="75" spans="2:3" x14ac:dyDescent="0.3">
      <c r="B75" s="8">
        <v>155</v>
      </c>
      <c r="C75" s="8">
        <v>196</v>
      </c>
    </row>
    <row r="76" spans="2:3" x14ac:dyDescent="0.3">
      <c r="B76" s="8">
        <v>263</v>
      </c>
      <c r="C76" s="8">
        <v>306</v>
      </c>
    </row>
    <row r="77" spans="2:3" x14ac:dyDescent="0.3">
      <c r="B77" s="8">
        <v>265</v>
      </c>
      <c r="C77" s="8">
        <v>302</v>
      </c>
    </row>
    <row r="78" spans="2:3" x14ac:dyDescent="0.3">
      <c r="B78" s="8">
        <v>249</v>
      </c>
      <c r="C78" s="8">
        <v>278</v>
      </c>
    </row>
    <row r="79" spans="2:3" x14ac:dyDescent="0.3">
      <c r="B79" s="8">
        <v>377</v>
      </c>
      <c r="C79" s="8">
        <v>429</v>
      </c>
    </row>
    <row r="80" spans="2:3" x14ac:dyDescent="0.3">
      <c r="B80" s="8">
        <v>301</v>
      </c>
      <c r="C80" s="8">
        <v>338</v>
      </c>
    </row>
    <row r="81" spans="2:3" x14ac:dyDescent="0.3">
      <c r="B81" s="8">
        <v>242</v>
      </c>
      <c r="C81" s="8">
        <v>261</v>
      </c>
    </row>
    <row r="82" spans="2:3" x14ac:dyDescent="0.3">
      <c r="B82" s="8">
        <v>211</v>
      </c>
      <c r="C82" s="8">
        <v>256</v>
      </c>
    </row>
    <row r="83" spans="2:3" x14ac:dyDescent="0.3">
      <c r="B83" s="8">
        <v>160</v>
      </c>
      <c r="C83" s="8">
        <v>183</v>
      </c>
    </row>
    <row r="84" spans="2:3" x14ac:dyDescent="0.3">
      <c r="B84" s="8">
        <v>218</v>
      </c>
      <c r="C84" s="8">
        <v>274</v>
      </c>
    </row>
    <row r="85" spans="2:3" x14ac:dyDescent="0.3">
      <c r="B85" s="8">
        <v>133</v>
      </c>
      <c r="C85" s="8">
        <v>182</v>
      </c>
    </row>
    <row r="86" spans="2:3" x14ac:dyDescent="0.3">
      <c r="B86" s="8">
        <v>122</v>
      </c>
      <c r="C86" s="8">
        <v>183</v>
      </c>
    </row>
    <row r="87" spans="2:3" x14ac:dyDescent="0.3">
      <c r="B87" s="8">
        <v>236</v>
      </c>
      <c r="C87" s="8">
        <v>309</v>
      </c>
    </row>
    <row r="88" spans="2:3" x14ac:dyDescent="0.3">
      <c r="B88" s="8">
        <v>143</v>
      </c>
      <c r="C88" s="8">
        <v>178</v>
      </c>
    </row>
    <row r="89" spans="2:3" x14ac:dyDescent="0.3">
      <c r="B89" s="8">
        <v>354</v>
      </c>
      <c r="C89" s="8">
        <v>458</v>
      </c>
    </row>
    <row r="90" spans="2:3" x14ac:dyDescent="0.3">
      <c r="B90" s="8">
        <v>214</v>
      </c>
      <c r="C90" s="8">
        <v>234</v>
      </c>
    </row>
    <row r="91" spans="2:3" x14ac:dyDescent="0.3">
      <c r="B91" s="8">
        <v>225</v>
      </c>
      <c r="C91" s="8">
        <v>306</v>
      </c>
    </row>
    <row r="92" spans="2:3" x14ac:dyDescent="0.3">
      <c r="B92" s="8">
        <v>261</v>
      </c>
      <c r="C92" s="8">
        <v>400</v>
      </c>
    </row>
    <row r="93" spans="2:3" x14ac:dyDescent="0.3">
      <c r="B93" s="8">
        <v>277</v>
      </c>
      <c r="C93" s="8">
        <v>337</v>
      </c>
    </row>
    <row r="94" spans="2:3" x14ac:dyDescent="0.3">
      <c r="B94" s="8">
        <v>282</v>
      </c>
      <c r="C94" s="8">
        <v>325</v>
      </c>
    </row>
    <row r="95" spans="2:3" x14ac:dyDescent="0.3">
      <c r="B95" s="8">
        <v>322</v>
      </c>
      <c r="C95" s="8">
        <v>329</v>
      </c>
    </row>
    <row r="96" spans="2:3" x14ac:dyDescent="0.3">
      <c r="B96" s="8">
        <v>326</v>
      </c>
      <c r="C96" s="8">
        <v>369</v>
      </c>
    </row>
    <row r="97" spans="2:3" x14ac:dyDescent="0.3">
      <c r="B97" s="8">
        <v>421</v>
      </c>
      <c r="C97" s="8">
        <v>457</v>
      </c>
    </row>
    <row r="98" spans="2:3" x14ac:dyDescent="0.3">
      <c r="B98" s="8">
        <v>368</v>
      </c>
      <c r="C98" s="8">
        <v>421</v>
      </c>
    </row>
    <row r="99" spans="2:3" x14ac:dyDescent="0.3">
      <c r="B99" s="8">
        <v>279</v>
      </c>
      <c r="C99" s="8">
        <v>282</v>
      </c>
    </row>
    <row r="100" spans="2:3" x14ac:dyDescent="0.3">
      <c r="B100" s="8">
        <v>268</v>
      </c>
      <c r="C100" s="8">
        <v>256</v>
      </c>
    </row>
  </sheetData>
  <mergeCells count="3">
    <mergeCell ref="E5:F5"/>
    <mergeCell ref="K5:L5"/>
    <mergeCell ref="H5:I5"/>
  </mergeCells>
  <pageMargins left="0.7" right="0.7" top="0.75" bottom="0.75" header="0.3" footer="0.3"/>
  <pageSetup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98AC1-D113-40B5-95DF-5017B75EFCAC}">
  <sheetPr codeName="Sheet53">
    <tabColor rgb="FFE2D0F0"/>
  </sheetPr>
  <dimension ref="B1:Q100"/>
  <sheetViews>
    <sheetView showGridLines="0" workbookViewId="0">
      <selection activeCell="Q6" sqref="Q6"/>
    </sheetView>
  </sheetViews>
  <sheetFormatPr defaultRowHeight="14.4" x14ac:dyDescent="0.3"/>
  <cols>
    <col min="1" max="1" width="2.88671875" customWidth="1"/>
    <col min="2" max="2" width="16" bestFit="1" customWidth="1"/>
    <col min="3" max="3" width="10.6640625" customWidth="1"/>
    <col min="4" max="4" width="20.6640625" bestFit="1" customWidth="1"/>
    <col min="5" max="5" width="19.33203125" customWidth="1"/>
    <col min="6" max="6" width="12.6640625" customWidth="1"/>
    <col min="7" max="7" width="26.33203125" bestFit="1" customWidth="1"/>
    <col min="9" max="9" width="14.33203125" customWidth="1"/>
    <col min="10" max="10" width="17" bestFit="1" customWidth="1"/>
    <col min="11" max="11" width="21.109375" bestFit="1" customWidth="1"/>
    <col min="13" max="13" width="11.44140625" customWidth="1"/>
    <col min="16" max="16" width="14.109375" bestFit="1" customWidth="1"/>
  </cols>
  <sheetData>
    <row r="1" spans="2:17" ht="25.5" customHeight="1" x14ac:dyDescent="0.35">
      <c r="B1" s="17" t="s">
        <v>219</v>
      </c>
    </row>
    <row r="2" spans="2:17" ht="15" customHeight="1" x14ac:dyDescent="0.3">
      <c r="B2" s="27" t="s">
        <v>220</v>
      </c>
    </row>
    <row r="3" spans="2:17" ht="18" customHeight="1" x14ac:dyDescent="0.3"/>
    <row r="4" spans="2:17" x14ac:dyDescent="0.3">
      <c r="I4" s="3"/>
    </row>
    <row r="5" spans="2:17" x14ac:dyDescent="0.3">
      <c r="B5" s="39" t="s">
        <v>68</v>
      </c>
      <c r="C5" s="39" t="s">
        <v>69</v>
      </c>
      <c r="D5" s="39" t="s">
        <v>21</v>
      </c>
      <c r="E5" s="39" t="s">
        <v>22</v>
      </c>
      <c r="F5" s="37" t="s">
        <v>30</v>
      </c>
      <c r="G5" s="38" t="s">
        <v>217</v>
      </c>
      <c r="I5" s="108" t="s">
        <v>205</v>
      </c>
      <c r="J5" s="108"/>
      <c r="K5" s="108"/>
      <c r="M5" s="108" t="s">
        <v>216</v>
      </c>
      <c r="N5" s="108"/>
      <c r="P5" s="108" t="s">
        <v>215</v>
      </c>
      <c r="Q5" s="108"/>
    </row>
    <row r="6" spans="2:17" x14ac:dyDescent="0.3">
      <c r="B6" s="46">
        <v>68.400000000000006</v>
      </c>
      <c r="C6" s="46">
        <v>90.2</v>
      </c>
      <c r="D6" s="46">
        <v>252</v>
      </c>
      <c r="E6" s="46">
        <v>276</v>
      </c>
      <c r="F6" s="47">
        <v>111000</v>
      </c>
      <c r="G6" s="46">
        <f>E6-D6</f>
        <v>24</v>
      </c>
      <c r="J6" s="39" t="s">
        <v>68</v>
      </c>
      <c r="K6" s="39" t="s">
        <v>21</v>
      </c>
      <c r="M6" s="19" t="s">
        <v>213</v>
      </c>
      <c r="N6" s="69">
        <f>INTERCEPT(G6:G100,B6:B100)</f>
        <v>-223.4190539652177</v>
      </c>
      <c r="P6" s="19" t="s">
        <v>280</v>
      </c>
      <c r="Q6" s="65">
        <v>80</v>
      </c>
    </row>
    <row r="7" spans="2:17" x14ac:dyDescent="0.3">
      <c r="B7" s="8">
        <v>62.1</v>
      </c>
      <c r="C7" s="8">
        <v>92.8</v>
      </c>
      <c r="D7" s="8">
        <v>423</v>
      </c>
      <c r="E7" s="46">
        <v>410</v>
      </c>
      <c r="F7" s="47"/>
      <c r="G7" s="46">
        <f t="shared" ref="G7:G70" si="0">E7-D7</f>
        <v>-13</v>
      </c>
      <c r="I7" s="19" t="s">
        <v>206</v>
      </c>
      <c r="J7" s="81">
        <f>CORREL(B6:B100,G6:G100)</f>
        <v>0.92556272300776632</v>
      </c>
      <c r="K7" s="81">
        <f>CORREL(D6:D100,G6:G100)</f>
        <v>9.4366710749681004E-2</v>
      </c>
      <c r="M7" s="19" t="s">
        <v>214</v>
      </c>
      <c r="N7" s="81">
        <f>SLOPE(G6:G100,B6:B100)</f>
        <v>3.6394257812138537</v>
      </c>
      <c r="P7" s="19" t="s">
        <v>228</v>
      </c>
      <c r="Q7" s="66">
        <f>_xlfn.FORECAST.LINEAR(Q6,G6:G100,B6:B100)</f>
        <v>67.735008531890571</v>
      </c>
    </row>
    <row r="8" spans="2:17" x14ac:dyDescent="0.3">
      <c r="B8" s="8">
        <v>70.2</v>
      </c>
      <c r="C8" s="8">
        <v>68.7</v>
      </c>
      <c r="D8" s="8">
        <v>101</v>
      </c>
      <c r="E8" s="46">
        <v>119</v>
      </c>
      <c r="F8" s="47">
        <v>107000</v>
      </c>
      <c r="G8" s="46">
        <f t="shared" si="0"/>
        <v>18</v>
      </c>
    </row>
    <row r="9" spans="2:17" x14ac:dyDescent="0.3">
      <c r="B9" s="8">
        <v>75.099999999999994</v>
      </c>
      <c r="C9" s="8">
        <v>80.7</v>
      </c>
      <c r="D9" s="8">
        <v>288</v>
      </c>
      <c r="E9" s="46">
        <v>334</v>
      </c>
      <c r="F9" s="47"/>
      <c r="G9" s="46">
        <f t="shared" si="0"/>
        <v>46</v>
      </c>
    </row>
    <row r="10" spans="2:17" x14ac:dyDescent="0.3">
      <c r="B10" s="8">
        <v>60.9</v>
      </c>
      <c r="C10" s="8">
        <v>74.900000000000006</v>
      </c>
      <c r="D10" s="8">
        <v>248</v>
      </c>
      <c r="E10" s="46">
        <v>252</v>
      </c>
      <c r="F10" s="47"/>
      <c r="G10" s="46">
        <f t="shared" si="0"/>
        <v>4</v>
      </c>
    </row>
    <row r="11" spans="2:17" x14ac:dyDescent="0.3">
      <c r="B11" s="8">
        <v>74.5</v>
      </c>
      <c r="C11" s="8">
        <v>80.7</v>
      </c>
      <c r="D11" s="8">
        <v>145</v>
      </c>
      <c r="E11" s="46">
        <v>209</v>
      </c>
      <c r="F11" s="47"/>
      <c r="G11" s="46">
        <f t="shared" si="0"/>
        <v>64</v>
      </c>
    </row>
    <row r="12" spans="2:17" x14ac:dyDescent="0.3">
      <c r="B12" s="8">
        <v>76.400000000000006</v>
      </c>
      <c r="C12" s="8">
        <v>83.3</v>
      </c>
      <c r="D12" s="8">
        <v>401</v>
      </c>
      <c r="E12" s="46">
        <v>462</v>
      </c>
      <c r="F12" s="47">
        <v>109000</v>
      </c>
      <c r="G12" s="46">
        <f t="shared" si="0"/>
        <v>61</v>
      </c>
    </row>
    <row r="13" spans="2:17" x14ac:dyDescent="0.3">
      <c r="B13" s="8">
        <v>82.6</v>
      </c>
      <c r="C13" s="8">
        <v>88.7</v>
      </c>
      <c r="D13" s="8">
        <v>287</v>
      </c>
      <c r="E13" s="46">
        <v>342</v>
      </c>
      <c r="F13" s="47">
        <v>148000</v>
      </c>
      <c r="G13" s="46">
        <f t="shared" si="0"/>
        <v>55</v>
      </c>
    </row>
    <row r="14" spans="2:17" x14ac:dyDescent="0.3">
      <c r="B14" s="8">
        <v>76.900000000000006</v>
      </c>
      <c r="C14" s="8">
        <v>75.400000000000006</v>
      </c>
      <c r="D14" s="8">
        <v>275</v>
      </c>
      <c r="E14" s="46">
        <v>347</v>
      </c>
      <c r="F14" s="47">
        <v>255500</v>
      </c>
      <c r="G14" s="46">
        <f t="shared" si="0"/>
        <v>72</v>
      </c>
    </row>
    <row r="15" spans="2:17" x14ac:dyDescent="0.3">
      <c r="B15" s="8">
        <v>83.3</v>
      </c>
      <c r="C15" s="8">
        <v>82.1</v>
      </c>
      <c r="D15" s="8">
        <v>254</v>
      </c>
      <c r="E15" s="46">
        <v>313</v>
      </c>
      <c r="F15" s="47">
        <v>103500</v>
      </c>
      <c r="G15" s="46">
        <f t="shared" si="0"/>
        <v>59</v>
      </c>
    </row>
    <row r="16" spans="2:17" x14ac:dyDescent="0.3">
      <c r="B16" s="8">
        <v>75.8</v>
      </c>
      <c r="C16" s="8">
        <v>87.5</v>
      </c>
      <c r="D16" s="8">
        <v>182</v>
      </c>
      <c r="E16" s="46">
        <v>232</v>
      </c>
      <c r="F16" s="47"/>
      <c r="G16" s="46">
        <f t="shared" si="0"/>
        <v>50</v>
      </c>
    </row>
    <row r="17" spans="2:7" x14ac:dyDescent="0.3">
      <c r="B17" s="8">
        <v>76</v>
      </c>
      <c r="C17" s="8">
        <v>66.900000000000006</v>
      </c>
      <c r="D17" s="8">
        <v>117</v>
      </c>
      <c r="E17" s="46">
        <v>163</v>
      </c>
      <c r="F17" s="47">
        <v>114500</v>
      </c>
      <c r="G17" s="46">
        <f t="shared" si="0"/>
        <v>46</v>
      </c>
    </row>
    <row r="18" spans="2:7" x14ac:dyDescent="0.3">
      <c r="B18" s="8">
        <v>62.8</v>
      </c>
      <c r="C18" s="8">
        <v>71.3</v>
      </c>
      <c r="D18" s="8">
        <v>130</v>
      </c>
      <c r="E18" s="46">
        <v>119</v>
      </c>
      <c r="F18" s="47"/>
      <c r="G18" s="46">
        <f t="shared" si="0"/>
        <v>-11</v>
      </c>
    </row>
    <row r="19" spans="2:7" x14ac:dyDescent="0.3">
      <c r="B19" s="8">
        <v>82.8</v>
      </c>
      <c r="C19" s="8">
        <v>76.8</v>
      </c>
      <c r="D19" s="8">
        <v>219</v>
      </c>
      <c r="E19" s="46">
        <v>304</v>
      </c>
      <c r="F19" s="47">
        <v>124000</v>
      </c>
      <c r="G19" s="46">
        <f t="shared" si="0"/>
        <v>85</v>
      </c>
    </row>
    <row r="20" spans="2:7" x14ac:dyDescent="0.3">
      <c r="B20" s="8">
        <v>76</v>
      </c>
      <c r="C20" s="8">
        <v>72.3</v>
      </c>
      <c r="D20" s="8">
        <v>152</v>
      </c>
      <c r="E20" s="46">
        <v>211</v>
      </c>
      <c r="F20" s="47">
        <v>132500</v>
      </c>
      <c r="G20" s="46">
        <f t="shared" si="0"/>
        <v>59</v>
      </c>
    </row>
    <row r="21" spans="2:7" x14ac:dyDescent="0.3">
      <c r="B21" s="8">
        <v>76.900000000000006</v>
      </c>
      <c r="C21" s="8">
        <v>72.400000000000006</v>
      </c>
      <c r="D21" s="8">
        <v>228</v>
      </c>
      <c r="E21" s="46">
        <v>286</v>
      </c>
      <c r="F21" s="47">
        <v>99000</v>
      </c>
      <c r="G21" s="46">
        <f t="shared" si="0"/>
        <v>58</v>
      </c>
    </row>
    <row r="22" spans="2:7" x14ac:dyDescent="0.3">
      <c r="B22" s="8">
        <v>75.8</v>
      </c>
      <c r="C22" s="8">
        <v>72</v>
      </c>
      <c r="D22" s="8">
        <v>62</v>
      </c>
      <c r="E22" s="46">
        <v>122</v>
      </c>
      <c r="F22" s="47"/>
      <c r="G22" s="46">
        <f t="shared" si="0"/>
        <v>60</v>
      </c>
    </row>
    <row r="23" spans="2:7" x14ac:dyDescent="0.3">
      <c r="B23" s="8">
        <v>78</v>
      </c>
      <c r="C23" s="8">
        <v>81</v>
      </c>
      <c r="D23" s="8">
        <v>393</v>
      </c>
      <c r="E23" s="46">
        <v>443</v>
      </c>
      <c r="F23" s="47">
        <v>124000</v>
      </c>
      <c r="G23" s="46">
        <f t="shared" si="0"/>
        <v>50</v>
      </c>
    </row>
    <row r="24" spans="2:7" x14ac:dyDescent="0.3">
      <c r="B24" s="8">
        <v>82.4</v>
      </c>
      <c r="C24" s="8">
        <v>96.1</v>
      </c>
      <c r="D24" s="8">
        <v>277</v>
      </c>
      <c r="E24" s="46">
        <v>366</v>
      </c>
      <c r="F24" s="47"/>
      <c r="G24" s="46">
        <f t="shared" si="0"/>
        <v>89</v>
      </c>
    </row>
    <row r="25" spans="2:7" x14ac:dyDescent="0.3">
      <c r="B25" s="8">
        <v>76.2</v>
      </c>
      <c r="C25" s="8">
        <v>76.7</v>
      </c>
      <c r="D25" s="8">
        <v>206</v>
      </c>
      <c r="E25" s="46">
        <v>244</v>
      </c>
      <c r="F25" s="47"/>
      <c r="G25" s="46">
        <f t="shared" si="0"/>
        <v>38</v>
      </c>
    </row>
    <row r="26" spans="2:7" x14ac:dyDescent="0.3">
      <c r="B26" s="8">
        <v>62.5</v>
      </c>
      <c r="C26" s="8">
        <v>80.3</v>
      </c>
      <c r="D26" s="8">
        <v>229</v>
      </c>
      <c r="E26" s="46">
        <v>241</v>
      </c>
      <c r="F26" s="47"/>
      <c r="G26" s="46">
        <f t="shared" si="0"/>
        <v>12</v>
      </c>
    </row>
    <row r="27" spans="2:7" x14ac:dyDescent="0.3">
      <c r="B27" s="8">
        <v>78</v>
      </c>
      <c r="C27" s="8">
        <v>77.8</v>
      </c>
      <c r="D27" s="8">
        <v>182</v>
      </c>
      <c r="E27" s="46">
        <v>237</v>
      </c>
      <c r="F27" s="47">
        <v>82000</v>
      </c>
      <c r="G27" s="46">
        <f t="shared" si="0"/>
        <v>55</v>
      </c>
    </row>
    <row r="28" spans="2:7" x14ac:dyDescent="0.3">
      <c r="B28" s="8">
        <v>66.5</v>
      </c>
      <c r="C28" s="8">
        <v>62.6</v>
      </c>
      <c r="D28" s="8">
        <v>98</v>
      </c>
      <c r="E28" s="46">
        <v>122</v>
      </c>
      <c r="F28" s="47"/>
      <c r="G28" s="46">
        <f t="shared" si="0"/>
        <v>24</v>
      </c>
    </row>
    <row r="29" spans="2:7" x14ac:dyDescent="0.3">
      <c r="B29" s="8">
        <v>63.5</v>
      </c>
      <c r="C29" s="8">
        <v>80.2</v>
      </c>
      <c r="D29" s="8">
        <v>125</v>
      </c>
      <c r="E29" s="46">
        <v>129</v>
      </c>
      <c r="F29" s="47"/>
      <c r="G29" s="46">
        <f t="shared" si="0"/>
        <v>4</v>
      </c>
    </row>
    <row r="30" spans="2:7" x14ac:dyDescent="0.3">
      <c r="B30" s="8">
        <v>82.6</v>
      </c>
      <c r="C30" s="8">
        <v>79.099999999999994</v>
      </c>
      <c r="D30" s="8">
        <v>164</v>
      </c>
      <c r="E30" s="46">
        <v>236</v>
      </c>
      <c r="F30" s="47">
        <v>185000</v>
      </c>
      <c r="G30" s="46">
        <f t="shared" si="0"/>
        <v>72</v>
      </c>
    </row>
    <row r="31" spans="2:7" x14ac:dyDescent="0.3">
      <c r="B31" s="8">
        <v>79.2</v>
      </c>
      <c r="C31" s="8">
        <v>77.8</v>
      </c>
      <c r="D31" s="8">
        <v>186</v>
      </c>
      <c r="E31" s="46">
        <v>251</v>
      </c>
      <c r="F31" s="47">
        <v>89500</v>
      </c>
      <c r="G31" s="46">
        <f t="shared" si="0"/>
        <v>65</v>
      </c>
    </row>
    <row r="32" spans="2:7" x14ac:dyDescent="0.3">
      <c r="B32" s="8">
        <v>75</v>
      </c>
      <c r="C32" s="8">
        <v>75.099999999999994</v>
      </c>
      <c r="D32" s="8">
        <v>235</v>
      </c>
      <c r="E32" s="46">
        <v>283</v>
      </c>
      <c r="F32" s="47">
        <v>91500</v>
      </c>
      <c r="G32" s="46">
        <f t="shared" si="0"/>
        <v>48</v>
      </c>
    </row>
    <row r="33" spans="2:7" x14ac:dyDescent="0.3">
      <c r="B33" s="8">
        <v>74.400000000000006</v>
      </c>
      <c r="C33" s="8">
        <v>82.2</v>
      </c>
      <c r="D33" s="8">
        <v>184</v>
      </c>
      <c r="E33" s="46">
        <v>225</v>
      </c>
      <c r="F33" s="47"/>
      <c r="G33" s="46">
        <f t="shared" si="0"/>
        <v>41</v>
      </c>
    </row>
    <row r="34" spans="2:7" x14ac:dyDescent="0.3">
      <c r="B34" s="8">
        <v>67.900000000000006</v>
      </c>
      <c r="C34" s="8">
        <v>70.5</v>
      </c>
      <c r="D34" s="8">
        <v>76</v>
      </c>
      <c r="E34" s="46">
        <v>102</v>
      </c>
      <c r="F34" s="47"/>
      <c r="G34" s="46">
        <f t="shared" si="0"/>
        <v>26</v>
      </c>
    </row>
    <row r="35" spans="2:7" x14ac:dyDescent="0.3">
      <c r="B35" s="8">
        <v>76.8</v>
      </c>
      <c r="C35" s="8">
        <v>70.8</v>
      </c>
      <c r="D35" s="8">
        <v>126</v>
      </c>
      <c r="E35" s="46">
        <v>180</v>
      </c>
      <c r="F35" s="47">
        <v>113500</v>
      </c>
      <c r="G35" s="46">
        <f t="shared" si="0"/>
        <v>54</v>
      </c>
    </row>
    <row r="36" spans="2:7" x14ac:dyDescent="0.3">
      <c r="B36" s="8">
        <v>83</v>
      </c>
      <c r="C36" s="8">
        <v>87.5</v>
      </c>
      <c r="D36" s="8">
        <v>183</v>
      </c>
      <c r="E36" s="46">
        <v>247</v>
      </c>
      <c r="F36" s="47"/>
      <c r="G36" s="46">
        <f t="shared" si="0"/>
        <v>64</v>
      </c>
    </row>
    <row r="37" spans="2:7" x14ac:dyDescent="0.3">
      <c r="B37" s="8">
        <v>88.9</v>
      </c>
      <c r="C37" s="8">
        <v>79.5</v>
      </c>
      <c r="D37" s="8">
        <v>242</v>
      </c>
      <c r="E37" s="46">
        <v>343</v>
      </c>
      <c r="F37" s="47"/>
      <c r="G37" s="46">
        <f t="shared" si="0"/>
        <v>101</v>
      </c>
    </row>
    <row r="38" spans="2:7" x14ac:dyDescent="0.3">
      <c r="B38" s="8">
        <v>76.5</v>
      </c>
      <c r="C38" s="8">
        <v>80.8</v>
      </c>
      <c r="D38" s="8">
        <v>207</v>
      </c>
      <c r="E38" s="46">
        <v>283</v>
      </c>
      <c r="F38" s="47"/>
      <c r="G38" s="46">
        <f t="shared" si="0"/>
        <v>76</v>
      </c>
    </row>
    <row r="39" spans="2:7" x14ac:dyDescent="0.3">
      <c r="B39" s="8">
        <v>79.900000000000006</v>
      </c>
      <c r="C39" s="8">
        <v>79.599999999999994</v>
      </c>
      <c r="D39" s="8">
        <v>181</v>
      </c>
      <c r="E39" s="46">
        <v>253</v>
      </c>
      <c r="F39" s="47">
        <v>99000</v>
      </c>
      <c r="G39" s="46">
        <f t="shared" si="0"/>
        <v>72</v>
      </c>
    </row>
    <row r="40" spans="2:7" x14ac:dyDescent="0.3">
      <c r="B40" s="8">
        <v>70.400000000000006</v>
      </c>
      <c r="C40" s="8">
        <v>88.9</v>
      </c>
      <c r="D40" s="8">
        <v>239</v>
      </c>
      <c r="E40" s="46">
        <v>263</v>
      </c>
      <c r="F40" s="47"/>
      <c r="G40" s="46">
        <f t="shared" si="0"/>
        <v>24</v>
      </c>
    </row>
    <row r="41" spans="2:7" x14ac:dyDescent="0.3">
      <c r="B41" s="8">
        <v>83.4</v>
      </c>
      <c r="C41" s="8">
        <v>85.9</v>
      </c>
      <c r="D41" s="8">
        <v>216</v>
      </c>
      <c r="E41" s="46">
        <v>291</v>
      </c>
      <c r="F41" s="47">
        <v>75500</v>
      </c>
      <c r="G41" s="46">
        <f t="shared" si="0"/>
        <v>75</v>
      </c>
    </row>
    <row r="42" spans="2:7" x14ac:dyDescent="0.3">
      <c r="B42" s="8">
        <v>79.2</v>
      </c>
      <c r="C42" s="8">
        <v>82.3</v>
      </c>
      <c r="D42" s="8">
        <v>289</v>
      </c>
      <c r="E42" s="46">
        <v>368</v>
      </c>
      <c r="F42" s="47">
        <v>86000</v>
      </c>
      <c r="G42" s="46">
        <f t="shared" si="0"/>
        <v>79</v>
      </c>
    </row>
    <row r="43" spans="2:7" x14ac:dyDescent="0.3">
      <c r="B43" s="8">
        <v>61.2</v>
      </c>
      <c r="C43" s="8">
        <v>76.7</v>
      </c>
      <c r="D43" s="8">
        <v>213</v>
      </c>
      <c r="E43" s="46">
        <v>206</v>
      </c>
      <c r="F43" s="47"/>
      <c r="G43" s="46">
        <f t="shared" si="0"/>
        <v>-7</v>
      </c>
    </row>
    <row r="44" spans="2:7" x14ac:dyDescent="0.3">
      <c r="B44" s="8">
        <v>64</v>
      </c>
      <c r="C44" s="8">
        <v>79.900000000000006</v>
      </c>
      <c r="D44" s="8">
        <v>209</v>
      </c>
      <c r="E44" s="46">
        <v>231</v>
      </c>
      <c r="F44" s="47"/>
      <c r="G44" s="46">
        <f t="shared" si="0"/>
        <v>22</v>
      </c>
    </row>
    <row r="45" spans="2:7" x14ac:dyDescent="0.3">
      <c r="B45" s="8">
        <v>68</v>
      </c>
      <c r="C45" s="8">
        <v>86.2</v>
      </c>
      <c r="D45" s="8">
        <v>376</v>
      </c>
      <c r="E45" s="46">
        <v>389</v>
      </c>
      <c r="F45" s="47"/>
      <c r="G45" s="46">
        <f t="shared" si="0"/>
        <v>13</v>
      </c>
    </row>
    <row r="46" spans="2:7" x14ac:dyDescent="0.3">
      <c r="B46" s="8">
        <v>78.5</v>
      </c>
      <c r="C46" s="8">
        <v>79.2</v>
      </c>
      <c r="D46" s="8">
        <v>332</v>
      </c>
      <c r="E46" s="46">
        <v>396</v>
      </c>
      <c r="F46" s="47">
        <v>156500</v>
      </c>
      <c r="G46" s="46">
        <f t="shared" si="0"/>
        <v>64</v>
      </c>
    </row>
    <row r="47" spans="2:7" x14ac:dyDescent="0.3">
      <c r="B47" s="8">
        <v>83</v>
      </c>
      <c r="C47" s="8">
        <v>83.4</v>
      </c>
      <c r="D47" s="8">
        <v>249</v>
      </c>
      <c r="E47" s="46">
        <v>339</v>
      </c>
      <c r="F47" s="47">
        <v>99500</v>
      </c>
      <c r="G47" s="46">
        <f t="shared" si="0"/>
        <v>90</v>
      </c>
    </row>
    <row r="48" spans="2:7" x14ac:dyDescent="0.3">
      <c r="B48" s="8">
        <v>75.2</v>
      </c>
      <c r="C48" s="8">
        <v>85.2</v>
      </c>
      <c r="D48" s="8">
        <v>228</v>
      </c>
      <c r="E48" s="46">
        <v>286</v>
      </c>
      <c r="F48" s="47">
        <v>148000</v>
      </c>
      <c r="G48" s="46">
        <f t="shared" si="0"/>
        <v>58</v>
      </c>
    </row>
    <row r="49" spans="2:7" x14ac:dyDescent="0.3">
      <c r="B49" s="8">
        <v>68.099999999999994</v>
      </c>
      <c r="C49" s="8">
        <v>77.8</v>
      </c>
      <c r="D49" s="8">
        <v>124</v>
      </c>
      <c r="E49" s="46">
        <v>146</v>
      </c>
      <c r="F49" s="47"/>
      <c r="G49" s="46">
        <f t="shared" si="0"/>
        <v>22</v>
      </c>
    </row>
    <row r="50" spans="2:7" x14ac:dyDescent="0.3">
      <c r="B50" s="8">
        <v>93.6</v>
      </c>
      <c r="C50" s="8">
        <v>80.2</v>
      </c>
      <c r="D50" s="8">
        <v>194</v>
      </c>
      <c r="E50" s="46">
        <v>315</v>
      </c>
      <c r="F50" s="47">
        <v>82000</v>
      </c>
      <c r="G50" s="46">
        <f t="shared" si="0"/>
        <v>121</v>
      </c>
    </row>
    <row r="51" spans="2:7" x14ac:dyDescent="0.3">
      <c r="B51" s="8">
        <v>75.599999999999994</v>
      </c>
      <c r="C51" s="8">
        <v>71</v>
      </c>
      <c r="D51" s="8">
        <v>157</v>
      </c>
      <c r="E51" s="46">
        <v>183</v>
      </c>
      <c r="F51" s="47"/>
      <c r="G51" s="46">
        <f t="shared" si="0"/>
        <v>26</v>
      </c>
    </row>
    <row r="52" spans="2:7" x14ac:dyDescent="0.3">
      <c r="B52" s="8">
        <v>82.3</v>
      </c>
      <c r="C52" s="8">
        <v>87.2</v>
      </c>
      <c r="D52" s="8">
        <v>402</v>
      </c>
      <c r="E52" s="46">
        <v>481</v>
      </c>
      <c r="F52" s="47">
        <v>103500</v>
      </c>
      <c r="G52" s="46">
        <f t="shared" si="0"/>
        <v>79</v>
      </c>
    </row>
    <row r="53" spans="2:7" x14ac:dyDescent="0.3">
      <c r="B53" s="8">
        <v>71.400000000000006</v>
      </c>
      <c r="C53" s="8">
        <v>82.9</v>
      </c>
      <c r="D53" s="8">
        <v>323</v>
      </c>
      <c r="E53" s="46">
        <v>349</v>
      </c>
      <c r="F53" s="47"/>
      <c r="G53" s="46">
        <f t="shared" si="0"/>
        <v>26</v>
      </c>
    </row>
    <row r="54" spans="2:7" x14ac:dyDescent="0.3">
      <c r="B54" s="8">
        <v>71.900000000000006</v>
      </c>
      <c r="C54" s="8">
        <v>73.5</v>
      </c>
      <c r="D54" s="8">
        <v>181</v>
      </c>
      <c r="E54" s="46">
        <v>225</v>
      </c>
      <c r="F54" s="47">
        <v>205500</v>
      </c>
      <c r="G54" s="46">
        <f t="shared" si="0"/>
        <v>44</v>
      </c>
    </row>
    <row r="55" spans="2:7" x14ac:dyDescent="0.3">
      <c r="B55" s="8">
        <v>79.099999999999994</v>
      </c>
      <c r="C55" s="8">
        <v>74.599999999999994</v>
      </c>
      <c r="D55" s="8">
        <v>157</v>
      </c>
      <c r="E55" s="46">
        <v>217</v>
      </c>
      <c r="F55" s="47">
        <v>103500</v>
      </c>
      <c r="G55" s="46">
        <f t="shared" si="0"/>
        <v>60</v>
      </c>
    </row>
    <row r="56" spans="2:7" x14ac:dyDescent="0.3">
      <c r="B56" s="8">
        <v>88.7</v>
      </c>
      <c r="C56" s="8">
        <v>75.099999999999994</v>
      </c>
      <c r="D56" s="8">
        <v>266</v>
      </c>
      <c r="E56" s="46">
        <v>353</v>
      </c>
      <c r="F56" s="47">
        <v>340000</v>
      </c>
      <c r="G56" s="46">
        <f t="shared" si="0"/>
        <v>87</v>
      </c>
    </row>
    <row r="57" spans="2:7" x14ac:dyDescent="0.3">
      <c r="B57" s="8">
        <v>69.400000000000006</v>
      </c>
      <c r="C57" s="8">
        <v>85.1</v>
      </c>
      <c r="D57" s="8">
        <v>268</v>
      </c>
      <c r="E57" s="46">
        <v>314</v>
      </c>
      <c r="F57" s="47"/>
      <c r="G57" s="46">
        <f t="shared" si="0"/>
        <v>46</v>
      </c>
    </row>
    <row r="58" spans="2:7" x14ac:dyDescent="0.3">
      <c r="B58" s="8">
        <v>80.3</v>
      </c>
      <c r="C58" s="8">
        <v>74.900000000000006</v>
      </c>
      <c r="D58" s="8">
        <v>167</v>
      </c>
      <c r="E58" s="46">
        <v>247</v>
      </c>
      <c r="F58" s="47">
        <v>103500</v>
      </c>
      <c r="G58" s="46">
        <f t="shared" si="0"/>
        <v>80</v>
      </c>
    </row>
    <row r="59" spans="2:7" x14ac:dyDescent="0.3">
      <c r="B59" s="8">
        <v>83</v>
      </c>
      <c r="C59" s="8">
        <v>84.6</v>
      </c>
      <c r="D59" s="8">
        <v>342</v>
      </c>
      <c r="E59" s="46">
        <v>410</v>
      </c>
      <c r="F59" s="47">
        <v>99500</v>
      </c>
      <c r="G59" s="46">
        <f t="shared" si="0"/>
        <v>68</v>
      </c>
    </row>
    <row r="60" spans="2:7" x14ac:dyDescent="0.3">
      <c r="B60" s="8">
        <v>74.099999999999994</v>
      </c>
      <c r="C60" s="8">
        <v>81.7</v>
      </c>
      <c r="D60" s="8">
        <v>349</v>
      </c>
      <c r="E60" s="46">
        <v>395</v>
      </c>
      <c r="F60" s="47">
        <v>103000</v>
      </c>
      <c r="G60" s="46">
        <f t="shared" si="0"/>
        <v>46</v>
      </c>
    </row>
    <row r="61" spans="2:7" x14ac:dyDescent="0.3">
      <c r="B61" s="8">
        <v>79.400000000000006</v>
      </c>
      <c r="C61" s="8">
        <v>81.400000000000006</v>
      </c>
      <c r="D61" s="8">
        <v>340</v>
      </c>
      <c r="E61" s="46">
        <v>416</v>
      </c>
      <c r="F61" s="47">
        <v>103500</v>
      </c>
      <c r="G61" s="46">
        <f t="shared" si="0"/>
        <v>76</v>
      </c>
    </row>
    <row r="62" spans="2:7" x14ac:dyDescent="0.3">
      <c r="B62" s="8">
        <v>88.1</v>
      </c>
      <c r="C62" s="8">
        <v>83.8</v>
      </c>
      <c r="D62" s="8">
        <v>227</v>
      </c>
      <c r="E62" s="46">
        <v>342</v>
      </c>
      <c r="F62" s="47">
        <v>165000</v>
      </c>
      <c r="G62" s="46">
        <f t="shared" si="0"/>
        <v>115</v>
      </c>
    </row>
    <row r="63" spans="2:7" x14ac:dyDescent="0.3">
      <c r="B63" s="8">
        <v>74.599999999999994</v>
      </c>
      <c r="C63" s="8">
        <v>88.5</v>
      </c>
      <c r="D63" s="8">
        <v>409</v>
      </c>
      <c r="E63" s="46">
        <v>446</v>
      </c>
      <c r="F63" s="47">
        <v>124500</v>
      </c>
      <c r="G63" s="46">
        <f t="shared" si="0"/>
        <v>37</v>
      </c>
    </row>
    <row r="64" spans="2:7" x14ac:dyDescent="0.3">
      <c r="B64" s="8">
        <v>87.1</v>
      </c>
      <c r="C64" s="8">
        <v>84.9</v>
      </c>
      <c r="D64" s="8">
        <v>400</v>
      </c>
      <c r="E64" s="46">
        <v>477</v>
      </c>
      <c r="F64" s="47">
        <v>103500</v>
      </c>
      <c r="G64" s="46">
        <f t="shared" si="0"/>
        <v>77</v>
      </c>
    </row>
    <row r="65" spans="2:7" x14ac:dyDescent="0.3">
      <c r="B65" s="8">
        <v>79.7</v>
      </c>
      <c r="C65" s="8">
        <v>84.3</v>
      </c>
      <c r="D65" s="8">
        <v>374</v>
      </c>
      <c r="E65" s="46">
        <v>444</v>
      </c>
      <c r="F65" s="47">
        <v>82500</v>
      </c>
      <c r="G65" s="46">
        <f t="shared" si="0"/>
        <v>70</v>
      </c>
    </row>
    <row r="66" spans="2:7" x14ac:dyDescent="0.3">
      <c r="B66" s="8">
        <v>82.1</v>
      </c>
      <c r="C66" s="8">
        <v>78.2</v>
      </c>
      <c r="D66" s="8">
        <v>255</v>
      </c>
      <c r="E66" s="46">
        <v>351</v>
      </c>
      <c r="F66" s="47">
        <v>93000</v>
      </c>
      <c r="G66" s="46">
        <f t="shared" si="0"/>
        <v>96</v>
      </c>
    </row>
    <row r="67" spans="2:7" x14ac:dyDescent="0.3">
      <c r="B67" s="8">
        <v>70.2</v>
      </c>
      <c r="C67" s="8">
        <v>80</v>
      </c>
      <c r="D67" s="8">
        <v>146</v>
      </c>
      <c r="E67" s="46">
        <v>165</v>
      </c>
      <c r="F67" s="47"/>
      <c r="G67" s="46">
        <f t="shared" si="0"/>
        <v>19</v>
      </c>
    </row>
    <row r="68" spans="2:7" x14ac:dyDescent="0.3">
      <c r="B68" s="8">
        <v>81.7</v>
      </c>
      <c r="C68" s="8">
        <v>74.8</v>
      </c>
      <c r="D68" s="8">
        <v>248</v>
      </c>
      <c r="E68" s="46">
        <v>317</v>
      </c>
      <c r="F68" s="47">
        <v>168000</v>
      </c>
      <c r="G68" s="46">
        <f t="shared" si="0"/>
        <v>69</v>
      </c>
    </row>
    <row r="69" spans="2:7" x14ac:dyDescent="0.3">
      <c r="B69" s="8">
        <v>76.099999999999994</v>
      </c>
      <c r="C69" s="8">
        <v>78.5</v>
      </c>
      <c r="D69" s="8">
        <v>198</v>
      </c>
      <c r="E69" s="46">
        <v>250</v>
      </c>
      <c r="F69" s="47">
        <v>96000</v>
      </c>
      <c r="G69" s="46">
        <f t="shared" si="0"/>
        <v>52</v>
      </c>
    </row>
    <row r="70" spans="2:7" x14ac:dyDescent="0.3">
      <c r="B70" s="8">
        <v>65.400000000000006</v>
      </c>
      <c r="C70" s="8">
        <v>71.8</v>
      </c>
      <c r="D70" s="8">
        <v>210</v>
      </c>
      <c r="E70" s="46">
        <v>217</v>
      </c>
      <c r="F70" s="47"/>
      <c r="G70" s="46">
        <f t="shared" si="0"/>
        <v>7</v>
      </c>
    </row>
    <row r="71" spans="2:7" x14ac:dyDescent="0.3">
      <c r="B71" s="8">
        <v>70.099999999999994</v>
      </c>
      <c r="C71" s="8">
        <v>69.900000000000006</v>
      </c>
      <c r="D71" s="8">
        <v>107</v>
      </c>
      <c r="E71" s="46">
        <v>138</v>
      </c>
      <c r="F71" s="47"/>
      <c r="G71" s="46">
        <f t="shared" ref="G71:G100" si="1">E71-D71</f>
        <v>31</v>
      </c>
    </row>
    <row r="72" spans="2:7" x14ac:dyDescent="0.3">
      <c r="B72" s="8">
        <v>75.3</v>
      </c>
      <c r="C72" s="8">
        <v>82.7</v>
      </c>
      <c r="D72" s="8">
        <v>239</v>
      </c>
      <c r="E72" s="46">
        <v>302</v>
      </c>
      <c r="F72" s="47">
        <v>80000</v>
      </c>
      <c r="G72" s="46">
        <f t="shared" si="1"/>
        <v>63</v>
      </c>
    </row>
    <row r="73" spans="2:7" x14ac:dyDescent="0.3">
      <c r="B73" s="8">
        <v>68.7</v>
      </c>
      <c r="C73" s="8">
        <v>74</v>
      </c>
      <c r="D73" s="8">
        <v>287</v>
      </c>
      <c r="E73" s="46">
        <v>311</v>
      </c>
      <c r="F73" s="47"/>
      <c r="G73" s="46">
        <f t="shared" si="1"/>
        <v>24</v>
      </c>
    </row>
    <row r="74" spans="2:7" x14ac:dyDescent="0.3">
      <c r="B74" s="8">
        <v>75.7</v>
      </c>
      <c r="C74" s="8">
        <v>84</v>
      </c>
      <c r="D74" s="8">
        <v>340</v>
      </c>
      <c r="E74" s="46">
        <v>373</v>
      </c>
      <c r="F74" s="47">
        <v>124500</v>
      </c>
      <c r="G74" s="46">
        <f t="shared" si="1"/>
        <v>33</v>
      </c>
    </row>
    <row r="75" spans="2:7" x14ac:dyDescent="0.3">
      <c r="B75" s="8">
        <v>68.7</v>
      </c>
      <c r="C75" s="8">
        <v>84.7</v>
      </c>
      <c r="D75" s="8">
        <v>155</v>
      </c>
      <c r="E75" s="46">
        <v>196</v>
      </c>
      <c r="F75" s="47"/>
      <c r="G75" s="46">
        <f t="shared" si="1"/>
        <v>41</v>
      </c>
    </row>
    <row r="76" spans="2:7" x14ac:dyDescent="0.3">
      <c r="B76" s="8">
        <v>70.400000000000006</v>
      </c>
      <c r="C76" s="8">
        <v>78.2</v>
      </c>
      <c r="D76" s="8">
        <v>263</v>
      </c>
      <c r="E76" s="46">
        <v>306</v>
      </c>
      <c r="F76" s="47">
        <v>99000</v>
      </c>
      <c r="G76" s="46">
        <f t="shared" si="1"/>
        <v>43</v>
      </c>
    </row>
    <row r="77" spans="2:7" x14ac:dyDescent="0.3">
      <c r="B77" s="8">
        <v>68.3</v>
      </c>
      <c r="C77" s="8">
        <v>85</v>
      </c>
      <c r="D77" s="8">
        <v>265</v>
      </c>
      <c r="E77" s="46">
        <v>302</v>
      </c>
      <c r="F77" s="47"/>
      <c r="G77" s="46">
        <f t="shared" si="1"/>
        <v>37</v>
      </c>
    </row>
    <row r="78" spans="2:7" x14ac:dyDescent="0.3">
      <c r="B78" s="8">
        <v>71.7</v>
      </c>
      <c r="C78" s="8">
        <v>80.099999999999994</v>
      </c>
      <c r="D78" s="8">
        <v>249</v>
      </c>
      <c r="E78" s="46">
        <v>278</v>
      </c>
      <c r="F78" s="47"/>
      <c r="G78" s="46">
        <f t="shared" si="1"/>
        <v>29</v>
      </c>
    </row>
    <row r="79" spans="2:7" x14ac:dyDescent="0.3">
      <c r="B79" s="8">
        <v>70.900000000000006</v>
      </c>
      <c r="C79" s="8">
        <v>85.3</v>
      </c>
      <c r="D79" s="8">
        <v>377</v>
      </c>
      <c r="E79" s="46">
        <v>429</v>
      </c>
      <c r="F79" s="47"/>
      <c r="G79" s="46">
        <f t="shared" si="1"/>
        <v>52</v>
      </c>
    </row>
    <row r="80" spans="2:7" x14ac:dyDescent="0.3">
      <c r="B80" s="8">
        <v>66.3</v>
      </c>
      <c r="C80" s="8">
        <v>79.7</v>
      </c>
      <c r="D80" s="8">
        <v>301</v>
      </c>
      <c r="E80" s="46">
        <v>338</v>
      </c>
      <c r="F80" s="47">
        <v>124000</v>
      </c>
      <c r="G80" s="46">
        <f t="shared" si="1"/>
        <v>37</v>
      </c>
    </row>
    <row r="81" spans="2:7" x14ac:dyDescent="0.3">
      <c r="B81" s="8">
        <v>65.3</v>
      </c>
      <c r="C81" s="8">
        <v>79.599999999999994</v>
      </c>
      <c r="D81" s="8">
        <v>242</v>
      </c>
      <c r="E81" s="46">
        <v>261</v>
      </c>
      <c r="F81" s="47"/>
      <c r="G81" s="46">
        <f t="shared" si="1"/>
        <v>19</v>
      </c>
    </row>
    <row r="82" spans="2:7" x14ac:dyDescent="0.3">
      <c r="B82" s="8">
        <v>75.7</v>
      </c>
      <c r="C82" s="8">
        <v>78.900000000000006</v>
      </c>
      <c r="D82" s="8">
        <v>211</v>
      </c>
      <c r="E82" s="46">
        <v>256</v>
      </c>
      <c r="F82" s="47"/>
      <c r="G82" s="46">
        <f t="shared" si="1"/>
        <v>45</v>
      </c>
    </row>
    <row r="83" spans="2:7" x14ac:dyDescent="0.3">
      <c r="B83" s="8">
        <v>66</v>
      </c>
      <c r="C83" s="8">
        <v>78.5</v>
      </c>
      <c r="D83" s="8">
        <v>160</v>
      </c>
      <c r="E83" s="46">
        <v>183</v>
      </c>
      <c r="F83" s="47">
        <v>91500</v>
      </c>
      <c r="G83" s="46">
        <f t="shared" si="1"/>
        <v>23</v>
      </c>
    </row>
    <row r="84" spans="2:7" x14ac:dyDescent="0.3">
      <c r="B84" s="8">
        <v>78.900000000000006</v>
      </c>
      <c r="C84" s="8">
        <v>72</v>
      </c>
      <c r="D84" s="8">
        <v>218</v>
      </c>
      <c r="E84" s="46">
        <v>274</v>
      </c>
      <c r="F84" s="47">
        <v>144500</v>
      </c>
      <c r="G84" s="46">
        <f t="shared" si="1"/>
        <v>56</v>
      </c>
    </row>
    <row r="85" spans="2:7" x14ac:dyDescent="0.3">
      <c r="B85" s="8">
        <v>74</v>
      </c>
      <c r="C85" s="8">
        <v>74.2</v>
      </c>
      <c r="D85" s="8">
        <v>133</v>
      </c>
      <c r="E85" s="46">
        <v>182</v>
      </c>
      <c r="F85" s="47"/>
      <c r="G85" s="46">
        <f t="shared" si="1"/>
        <v>49</v>
      </c>
    </row>
    <row r="86" spans="2:7" x14ac:dyDescent="0.3">
      <c r="B86" s="8">
        <v>74.599999999999994</v>
      </c>
      <c r="C86" s="8">
        <v>71.7</v>
      </c>
      <c r="D86" s="8">
        <v>122</v>
      </c>
      <c r="E86" s="46">
        <v>183</v>
      </c>
      <c r="F86" s="47"/>
      <c r="G86" s="46">
        <f t="shared" si="1"/>
        <v>61</v>
      </c>
    </row>
    <row r="87" spans="2:7" x14ac:dyDescent="0.3">
      <c r="B87" s="8">
        <v>79.3</v>
      </c>
      <c r="C87" s="8">
        <v>80.7</v>
      </c>
      <c r="D87" s="8">
        <v>236</v>
      </c>
      <c r="E87" s="46">
        <v>309</v>
      </c>
      <c r="F87" s="47">
        <v>114500</v>
      </c>
      <c r="G87" s="46">
        <f t="shared" si="1"/>
        <v>73</v>
      </c>
    </row>
    <row r="88" spans="2:7" x14ac:dyDescent="0.3">
      <c r="B88" s="8">
        <v>70.099999999999994</v>
      </c>
      <c r="C88" s="8">
        <v>84.1</v>
      </c>
      <c r="D88" s="8">
        <v>143</v>
      </c>
      <c r="E88" s="46">
        <v>178</v>
      </c>
      <c r="F88" s="47"/>
      <c r="G88" s="46">
        <f t="shared" si="1"/>
        <v>35</v>
      </c>
    </row>
    <row r="89" spans="2:7" x14ac:dyDescent="0.3">
      <c r="B89" s="8">
        <v>88.8</v>
      </c>
      <c r="C89" s="8">
        <v>87.4</v>
      </c>
      <c r="D89" s="8">
        <v>354</v>
      </c>
      <c r="E89" s="46">
        <v>458</v>
      </c>
      <c r="F89" s="47">
        <v>104500</v>
      </c>
      <c r="G89" s="46">
        <f t="shared" si="1"/>
        <v>104</v>
      </c>
    </row>
    <row r="90" spans="2:7" x14ac:dyDescent="0.3">
      <c r="B90" s="8">
        <v>66</v>
      </c>
      <c r="C90" s="8">
        <v>77.400000000000006</v>
      </c>
      <c r="D90" s="8">
        <v>214</v>
      </c>
      <c r="E90" s="46">
        <v>234</v>
      </c>
      <c r="F90" s="47">
        <v>124000</v>
      </c>
      <c r="G90" s="46">
        <f t="shared" si="1"/>
        <v>20</v>
      </c>
    </row>
    <row r="91" spans="2:7" x14ac:dyDescent="0.3">
      <c r="B91" s="8">
        <v>82.9</v>
      </c>
      <c r="C91" s="8">
        <v>84.7</v>
      </c>
      <c r="D91" s="8">
        <v>225</v>
      </c>
      <c r="E91" s="46">
        <v>306</v>
      </c>
      <c r="F91" s="47">
        <v>113000</v>
      </c>
      <c r="G91" s="46">
        <f t="shared" si="1"/>
        <v>81</v>
      </c>
    </row>
    <row r="92" spans="2:7" x14ac:dyDescent="0.3">
      <c r="B92" s="8">
        <v>100</v>
      </c>
      <c r="C92" s="8">
        <v>78.8</v>
      </c>
      <c r="D92" s="8">
        <v>261</v>
      </c>
      <c r="E92" s="46">
        <v>400</v>
      </c>
      <c r="F92" s="47">
        <v>78000</v>
      </c>
      <c r="G92" s="46">
        <f t="shared" si="1"/>
        <v>139</v>
      </c>
    </row>
    <row r="93" spans="2:7" x14ac:dyDescent="0.3">
      <c r="B93" s="8">
        <v>75.599999999999994</v>
      </c>
      <c r="C93" s="8">
        <v>92.7</v>
      </c>
      <c r="D93" s="8">
        <v>277</v>
      </c>
      <c r="E93" s="46">
        <v>337</v>
      </c>
      <c r="F93" s="47"/>
      <c r="G93" s="46">
        <f t="shared" si="1"/>
        <v>60</v>
      </c>
    </row>
    <row r="94" spans="2:7" x14ac:dyDescent="0.3">
      <c r="B94" s="8">
        <v>67.5</v>
      </c>
      <c r="C94" s="8">
        <v>88.8</v>
      </c>
      <c r="D94" s="8">
        <v>282</v>
      </c>
      <c r="E94" s="46">
        <v>325</v>
      </c>
      <c r="F94" s="47">
        <v>109000</v>
      </c>
      <c r="G94" s="46">
        <f t="shared" si="1"/>
        <v>43</v>
      </c>
    </row>
    <row r="95" spans="2:7" x14ac:dyDescent="0.3">
      <c r="B95" s="8">
        <v>68.7</v>
      </c>
      <c r="C95" s="8">
        <v>86.6</v>
      </c>
      <c r="D95" s="8">
        <v>322</v>
      </c>
      <c r="E95" s="46">
        <v>329</v>
      </c>
      <c r="F95" s="47"/>
      <c r="G95" s="46">
        <f t="shared" si="1"/>
        <v>7</v>
      </c>
    </row>
    <row r="96" spans="2:7" x14ac:dyDescent="0.3">
      <c r="B96" s="8">
        <v>76</v>
      </c>
      <c r="C96" s="8">
        <v>77.900000000000006</v>
      </c>
      <c r="D96" s="8">
        <v>326</v>
      </c>
      <c r="E96" s="46">
        <v>369</v>
      </c>
      <c r="F96" s="47">
        <v>99500</v>
      </c>
      <c r="G96" s="46">
        <f t="shared" si="1"/>
        <v>43</v>
      </c>
    </row>
    <row r="97" spans="2:7" x14ac:dyDescent="0.3">
      <c r="B97" s="8">
        <v>67.7</v>
      </c>
      <c r="C97" s="8">
        <v>86.1</v>
      </c>
      <c r="D97" s="8">
        <v>421</v>
      </c>
      <c r="E97" s="46">
        <v>457</v>
      </c>
      <c r="F97" s="47">
        <v>107000</v>
      </c>
      <c r="G97" s="46">
        <f t="shared" si="1"/>
        <v>36</v>
      </c>
    </row>
    <row r="98" spans="2:7" x14ac:dyDescent="0.3">
      <c r="B98" s="8">
        <v>75.3</v>
      </c>
      <c r="C98" s="8">
        <v>89.9</v>
      </c>
      <c r="D98" s="8">
        <v>368</v>
      </c>
      <c r="E98" s="46">
        <v>421</v>
      </c>
      <c r="F98" s="47"/>
      <c r="G98" s="46">
        <f t="shared" si="1"/>
        <v>53</v>
      </c>
    </row>
    <row r="99" spans="2:7" x14ac:dyDescent="0.3">
      <c r="B99" s="8">
        <v>68.099999999999994</v>
      </c>
      <c r="C99" s="8">
        <v>83.1</v>
      </c>
      <c r="D99" s="8">
        <v>279</v>
      </c>
      <c r="E99" s="46">
        <v>282</v>
      </c>
      <c r="F99" s="47">
        <v>84000</v>
      </c>
      <c r="G99" s="46">
        <f t="shared" si="1"/>
        <v>3</v>
      </c>
    </row>
    <row r="100" spans="2:7" x14ac:dyDescent="0.3">
      <c r="B100" s="8">
        <v>63.3</v>
      </c>
      <c r="C100" s="8">
        <v>82.6</v>
      </c>
      <c r="D100" s="8">
        <v>268</v>
      </c>
      <c r="E100" s="46">
        <v>256</v>
      </c>
      <c r="F100" s="47"/>
      <c r="G100" s="46">
        <f t="shared" si="1"/>
        <v>-12</v>
      </c>
    </row>
  </sheetData>
  <mergeCells count="3">
    <mergeCell ref="M5:N5"/>
    <mergeCell ref="P5:Q5"/>
    <mergeCell ref="I5:K5"/>
  </mergeCell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A6A0D-2478-45C6-818E-4190B6779D37}">
  <sheetPr codeName="Sheet54">
    <tabColor rgb="FFEFE5F7"/>
  </sheetPr>
  <dimension ref="B1:O100"/>
  <sheetViews>
    <sheetView showGridLines="0" workbookViewId="0">
      <selection activeCell="O8" sqref="O8"/>
    </sheetView>
  </sheetViews>
  <sheetFormatPr defaultRowHeight="14.4" x14ac:dyDescent="0.3"/>
  <cols>
    <col min="1" max="1" width="2.88671875" customWidth="1"/>
    <col min="2" max="2" width="20.6640625" bestFit="1" customWidth="1"/>
    <col min="3" max="3" width="19.33203125" bestFit="1" customWidth="1"/>
    <col min="5" max="5" width="14.33203125" customWidth="1"/>
    <col min="6" max="6" width="9.109375" customWidth="1"/>
    <col min="8" max="8" width="11.44140625" customWidth="1"/>
    <col min="14" max="15" width="11.44140625" customWidth="1"/>
  </cols>
  <sheetData>
    <row r="1" spans="2:15" ht="25.5" customHeight="1" x14ac:dyDescent="0.35">
      <c r="B1" s="17" t="s">
        <v>324</v>
      </c>
    </row>
    <row r="2" spans="2:15" ht="15" customHeight="1" x14ac:dyDescent="0.3">
      <c r="B2" s="27" t="s">
        <v>229</v>
      </c>
    </row>
    <row r="3" spans="2:15" ht="18" customHeight="1" x14ac:dyDescent="0.3"/>
    <row r="4" spans="2:15" x14ac:dyDescent="0.3">
      <c r="E4" s="3"/>
    </row>
    <row r="5" spans="2:15" x14ac:dyDescent="0.3">
      <c r="B5" s="39" t="s">
        <v>21</v>
      </c>
      <c r="C5" s="39" t="s">
        <v>22</v>
      </c>
      <c r="E5" s="108" t="s">
        <v>205</v>
      </c>
      <c r="F5" s="108"/>
      <c r="H5" s="108" t="s">
        <v>216</v>
      </c>
      <c r="I5" s="108"/>
      <c r="K5" s="108" t="s">
        <v>215</v>
      </c>
      <c r="L5" s="108"/>
      <c r="N5" s="108" t="s">
        <v>221</v>
      </c>
      <c r="O5" s="108"/>
    </row>
    <row r="6" spans="2:15" x14ac:dyDescent="0.3">
      <c r="B6" s="46">
        <v>252</v>
      </c>
      <c r="C6" s="46">
        <v>276</v>
      </c>
      <c r="E6" s="19" t="s">
        <v>206</v>
      </c>
      <c r="F6" s="81">
        <f>PEARSON(B6:B100,C6:C100)</f>
        <v>0.94886589689776391</v>
      </c>
      <c r="H6" s="19" t="s">
        <v>213</v>
      </c>
      <c r="I6" s="69">
        <f>INTERCEPT(C6:C100,B6:B100)</f>
        <v>41.63016671209175</v>
      </c>
      <c r="K6" s="19" t="s">
        <v>210</v>
      </c>
      <c r="L6" s="65">
        <v>250</v>
      </c>
      <c r="N6" s="52" t="s">
        <v>222</v>
      </c>
      <c r="O6" s="91" cm="1">
        <f t="array" ref="O6">SUMSQ(C6:C100-_xlfn.FORECAST.LINEAR(B6:B100,C6:C100,B6:B100))</f>
        <v>81929.289620086478</v>
      </c>
    </row>
    <row r="7" spans="2:15" x14ac:dyDescent="0.3">
      <c r="B7" s="8">
        <v>423</v>
      </c>
      <c r="C7" s="8">
        <v>410</v>
      </c>
      <c r="H7" s="19" t="s">
        <v>214</v>
      </c>
      <c r="I7" s="81">
        <f>SLOPE(C6:C100,B6:B100)</f>
        <v>1.0325625976197308</v>
      </c>
      <c r="K7" s="19" t="s">
        <v>211</v>
      </c>
      <c r="L7" s="66">
        <f>_xlfn.FORECAST.LINEAR(L6,C6:C100,B6:B100)</f>
        <v>299.77081611702442</v>
      </c>
      <c r="N7" s="52" t="s">
        <v>223</v>
      </c>
      <c r="O7" s="91" cm="1">
        <f t="array" ref="O7">SUMSQ(C6:C100-AVERAGE(C6:C100))</f>
        <v>822141.5368421051</v>
      </c>
    </row>
    <row r="8" spans="2:15" x14ac:dyDescent="0.3">
      <c r="B8" s="8">
        <v>101</v>
      </c>
      <c r="C8" s="8">
        <v>119</v>
      </c>
      <c r="N8" s="19" t="s">
        <v>224</v>
      </c>
      <c r="O8" s="81">
        <f>RSQ(C6:C100,B6:B100)</f>
        <v>0.90034649029559788</v>
      </c>
    </row>
    <row r="9" spans="2:15" x14ac:dyDescent="0.3">
      <c r="B9" s="8">
        <v>288</v>
      </c>
      <c r="C9" s="8">
        <v>334</v>
      </c>
    </row>
    <row r="10" spans="2:15" x14ac:dyDescent="0.3">
      <c r="B10" s="8">
        <v>248</v>
      </c>
      <c r="C10" s="8">
        <v>252</v>
      </c>
    </row>
    <row r="11" spans="2:15" x14ac:dyDescent="0.3">
      <c r="B11" s="8">
        <v>145</v>
      </c>
      <c r="C11" s="8">
        <v>209</v>
      </c>
    </row>
    <row r="12" spans="2:15" x14ac:dyDescent="0.3">
      <c r="B12" s="8">
        <v>401</v>
      </c>
      <c r="C12" s="8">
        <v>462</v>
      </c>
    </row>
    <row r="13" spans="2:15" x14ac:dyDescent="0.3">
      <c r="B13" s="8">
        <v>287</v>
      </c>
      <c r="C13" s="8">
        <v>342</v>
      </c>
    </row>
    <row r="14" spans="2:15" x14ac:dyDescent="0.3">
      <c r="B14" s="8">
        <v>275</v>
      </c>
      <c r="C14" s="8">
        <v>347</v>
      </c>
    </row>
    <row r="15" spans="2:15" x14ac:dyDescent="0.3">
      <c r="B15" s="8">
        <v>254</v>
      </c>
      <c r="C15" s="8">
        <v>313</v>
      </c>
    </row>
    <row r="16" spans="2:15" x14ac:dyDescent="0.3">
      <c r="B16" s="8">
        <v>182</v>
      </c>
      <c r="C16" s="8">
        <v>232</v>
      </c>
    </row>
    <row r="17" spans="2:3" x14ac:dyDescent="0.3">
      <c r="B17" s="8">
        <v>117</v>
      </c>
      <c r="C17" s="8">
        <v>163</v>
      </c>
    </row>
    <row r="18" spans="2:3" x14ac:dyDescent="0.3">
      <c r="B18" s="8">
        <v>130</v>
      </c>
      <c r="C18" s="8">
        <v>119</v>
      </c>
    </row>
    <row r="19" spans="2:3" x14ac:dyDescent="0.3">
      <c r="B19" s="8">
        <v>219</v>
      </c>
      <c r="C19" s="8">
        <v>304</v>
      </c>
    </row>
    <row r="20" spans="2:3" x14ac:dyDescent="0.3">
      <c r="B20" s="8">
        <v>152</v>
      </c>
      <c r="C20" s="8">
        <v>211</v>
      </c>
    </row>
    <row r="21" spans="2:3" x14ac:dyDescent="0.3">
      <c r="B21" s="8">
        <v>228</v>
      </c>
      <c r="C21" s="8">
        <v>286</v>
      </c>
    </row>
    <row r="22" spans="2:3" x14ac:dyDescent="0.3">
      <c r="B22" s="8">
        <v>62</v>
      </c>
      <c r="C22" s="8">
        <v>122</v>
      </c>
    </row>
    <row r="23" spans="2:3" x14ac:dyDescent="0.3">
      <c r="B23" s="8">
        <v>393</v>
      </c>
      <c r="C23" s="8">
        <v>443</v>
      </c>
    </row>
    <row r="24" spans="2:3" x14ac:dyDescent="0.3">
      <c r="B24" s="8">
        <v>277</v>
      </c>
      <c r="C24" s="8">
        <v>366</v>
      </c>
    </row>
    <row r="25" spans="2:3" x14ac:dyDescent="0.3">
      <c r="B25" s="8">
        <v>206</v>
      </c>
      <c r="C25" s="8">
        <v>244</v>
      </c>
    </row>
    <row r="26" spans="2:3" x14ac:dyDescent="0.3">
      <c r="B26" s="8">
        <v>229</v>
      </c>
      <c r="C26" s="8">
        <v>241</v>
      </c>
    </row>
    <row r="27" spans="2:3" x14ac:dyDescent="0.3">
      <c r="B27" s="8">
        <v>182</v>
      </c>
      <c r="C27" s="8">
        <v>237</v>
      </c>
    </row>
    <row r="28" spans="2:3" x14ac:dyDescent="0.3">
      <c r="B28" s="8">
        <v>98</v>
      </c>
      <c r="C28" s="8">
        <v>122</v>
      </c>
    </row>
    <row r="29" spans="2:3" x14ac:dyDescent="0.3">
      <c r="B29" s="8">
        <v>125</v>
      </c>
      <c r="C29" s="8">
        <v>129</v>
      </c>
    </row>
    <row r="30" spans="2:3" x14ac:dyDescent="0.3">
      <c r="B30" s="8">
        <v>164</v>
      </c>
      <c r="C30" s="8">
        <v>236</v>
      </c>
    </row>
    <row r="31" spans="2:3" x14ac:dyDescent="0.3">
      <c r="B31" s="8">
        <v>186</v>
      </c>
      <c r="C31" s="8">
        <v>251</v>
      </c>
    </row>
    <row r="32" spans="2:3" x14ac:dyDescent="0.3">
      <c r="B32" s="8">
        <v>235</v>
      </c>
      <c r="C32" s="8">
        <v>283</v>
      </c>
    </row>
    <row r="33" spans="2:3" x14ac:dyDescent="0.3">
      <c r="B33" s="8">
        <v>184</v>
      </c>
      <c r="C33" s="8">
        <v>225</v>
      </c>
    </row>
    <row r="34" spans="2:3" x14ac:dyDescent="0.3">
      <c r="B34" s="8">
        <v>76</v>
      </c>
      <c r="C34" s="8">
        <v>102</v>
      </c>
    </row>
    <row r="35" spans="2:3" x14ac:dyDescent="0.3">
      <c r="B35" s="8">
        <v>126</v>
      </c>
      <c r="C35" s="8">
        <v>180</v>
      </c>
    </row>
    <row r="36" spans="2:3" x14ac:dyDescent="0.3">
      <c r="B36" s="8">
        <v>183</v>
      </c>
      <c r="C36" s="8">
        <v>247</v>
      </c>
    </row>
    <row r="37" spans="2:3" x14ac:dyDescent="0.3">
      <c r="B37" s="8">
        <v>242</v>
      </c>
      <c r="C37" s="8">
        <v>343</v>
      </c>
    </row>
    <row r="38" spans="2:3" x14ac:dyDescent="0.3">
      <c r="B38" s="8">
        <v>207</v>
      </c>
      <c r="C38" s="8">
        <v>283</v>
      </c>
    </row>
    <row r="39" spans="2:3" x14ac:dyDescent="0.3">
      <c r="B39" s="8">
        <v>181</v>
      </c>
      <c r="C39" s="8">
        <v>253</v>
      </c>
    </row>
    <row r="40" spans="2:3" x14ac:dyDescent="0.3">
      <c r="B40" s="8">
        <v>239</v>
      </c>
      <c r="C40" s="8">
        <v>263</v>
      </c>
    </row>
    <row r="41" spans="2:3" x14ac:dyDescent="0.3">
      <c r="B41" s="8">
        <v>216</v>
      </c>
      <c r="C41" s="8">
        <v>291</v>
      </c>
    </row>
    <row r="42" spans="2:3" x14ac:dyDescent="0.3">
      <c r="B42" s="8">
        <v>289</v>
      </c>
      <c r="C42" s="8">
        <v>368</v>
      </c>
    </row>
    <row r="43" spans="2:3" x14ac:dyDescent="0.3">
      <c r="B43" s="8">
        <v>213</v>
      </c>
      <c r="C43" s="8">
        <v>206</v>
      </c>
    </row>
    <row r="44" spans="2:3" x14ac:dyDescent="0.3">
      <c r="B44" s="8">
        <v>209</v>
      </c>
      <c r="C44" s="8">
        <v>231</v>
      </c>
    </row>
    <row r="45" spans="2:3" x14ac:dyDescent="0.3">
      <c r="B45" s="8">
        <v>376</v>
      </c>
      <c r="C45" s="8">
        <v>389</v>
      </c>
    </row>
    <row r="46" spans="2:3" x14ac:dyDescent="0.3">
      <c r="B46" s="8">
        <v>332</v>
      </c>
      <c r="C46" s="8">
        <v>396</v>
      </c>
    </row>
    <row r="47" spans="2:3" x14ac:dyDescent="0.3">
      <c r="B47" s="8">
        <v>249</v>
      </c>
      <c r="C47" s="8">
        <v>339</v>
      </c>
    </row>
    <row r="48" spans="2:3" x14ac:dyDescent="0.3">
      <c r="B48" s="8">
        <v>228</v>
      </c>
      <c r="C48" s="8">
        <v>286</v>
      </c>
    </row>
    <row r="49" spans="2:3" x14ac:dyDescent="0.3">
      <c r="B49" s="8">
        <v>124</v>
      </c>
      <c r="C49" s="8">
        <v>146</v>
      </c>
    </row>
    <row r="50" spans="2:3" x14ac:dyDescent="0.3">
      <c r="B50" s="8">
        <v>194</v>
      </c>
      <c r="C50" s="8">
        <v>315</v>
      </c>
    </row>
    <row r="51" spans="2:3" x14ac:dyDescent="0.3">
      <c r="B51" s="8">
        <v>157</v>
      </c>
      <c r="C51" s="8">
        <v>183</v>
      </c>
    </row>
    <row r="52" spans="2:3" x14ac:dyDescent="0.3">
      <c r="B52" s="8">
        <v>402</v>
      </c>
      <c r="C52" s="8">
        <v>481</v>
      </c>
    </row>
    <row r="53" spans="2:3" x14ac:dyDescent="0.3">
      <c r="B53" s="8">
        <v>323</v>
      </c>
      <c r="C53" s="8">
        <v>349</v>
      </c>
    </row>
    <row r="54" spans="2:3" x14ac:dyDescent="0.3">
      <c r="B54" s="8">
        <v>181</v>
      </c>
      <c r="C54" s="8">
        <v>225</v>
      </c>
    </row>
    <row r="55" spans="2:3" x14ac:dyDescent="0.3">
      <c r="B55" s="8">
        <v>157</v>
      </c>
      <c r="C55" s="8">
        <v>217</v>
      </c>
    </row>
    <row r="56" spans="2:3" x14ac:dyDescent="0.3">
      <c r="B56" s="8">
        <v>266</v>
      </c>
      <c r="C56" s="8">
        <v>353</v>
      </c>
    </row>
    <row r="57" spans="2:3" x14ac:dyDescent="0.3">
      <c r="B57" s="8">
        <v>268</v>
      </c>
      <c r="C57" s="8">
        <v>314</v>
      </c>
    </row>
    <row r="58" spans="2:3" x14ac:dyDescent="0.3">
      <c r="B58" s="8">
        <v>167</v>
      </c>
      <c r="C58" s="8">
        <v>247</v>
      </c>
    </row>
    <row r="59" spans="2:3" x14ac:dyDescent="0.3">
      <c r="B59" s="8">
        <v>342</v>
      </c>
      <c r="C59" s="8">
        <v>410</v>
      </c>
    </row>
    <row r="60" spans="2:3" x14ac:dyDescent="0.3">
      <c r="B60" s="8">
        <v>349</v>
      </c>
      <c r="C60" s="8">
        <v>395</v>
      </c>
    </row>
    <row r="61" spans="2:3" x14ac:dyDescent="0.3">
      <c r="B61" s="8">
        <v>340</v>
      </c>
      <c r="C61" s="8">
        <v>416</v>
      </c>
    </row>
    <row r="62" spans="2:3" x14ac:dyDescent="0.3">
      <c r="B62" s="8">
        <v>227</v>
      </c>
      <c r="C62" s="8">
        <v>342</v>
      </c>
    </row>
    <row r="63" spans="2:3" x14ac:dyDescent="0.3">
      <c r="B63" s="8">
        <v>409</v>
      </c>
      <c r="C63" s="8">
        <v>446</v>
      </c>
    </row>
    <row r="64" spans="2:3" x14ac:dyDescent="0.3">
      <c r="B64" s="8">
        <v>400</v>
      </c>
      <c r="C64" s="8">
        <v>477</v>
      </c>
    </row>
    <row r="65" spans="2:3" x14ac:dyDescent="0.3">
      <c r="B65" s="8">
        <v>374</v>
      </c>
      <c r="C65" s="8">
        <v>444</v>
      </c>
    </row>
    <row r="66" spans="2:3" x14ac:dyDescent="0.3">
      <c r="B66" s="8">
        <v>255</v>
      </c>
      <c r="C66" s="8">
        <v>351</v>
      </c>
    </row>
    <row r="67" spans="2:3" x14ac:dyDescent="0.3">
      <c r="B67" s="8">
        <v>146</v>
      </c>
      <c r="C67" s="8">
        <v>165</v>
      </c>
    </row>
    <row r="68" spans="2:3" x14ac:dyDescent="0.3">
      <c r="B68" s="8">
        <v>248</v>
      </c>
      <c r="C68" s="8">
        <v>317</v>
      </c>
    </row>
    <row r="69" spans="2:3" x14ac:dyDescent="0.3">
      <c r="B69" s="8">
        <v>198</v>
      </c>
      <c r="C69" s="8">
        <v>250</v>
      </c>
    </row>
    <row r="70" spans="2:3" x14ac:dyDescent="0.3">
      <c r="B70" s="8">
        <v>210</v>
      </c>
      <c r="C70" s="8">
        <v>217</v>
      </c>
    </row>
    <row r="71" spans="2:3" x14ac:dyDescent="0.3">
      <c r="B71" s="8">
        <v>107</v>
      </c>
      <c r="C71" s="8">
        <v>138</v>
      </c>
    </row>
    <row r="72" spans="2:3" x14ac:dyDescent="0.3">
      <c r="B72" s="8">
        <v>239</v>
      </c>
      <c r="C72" s="8">
        <v>302</v>
      </c>
    </row>
    <row r="73" spans="2:3" x14ac:dyDescent="0.3">
      <c r="B73" s="8">
        <v>287</v>
      </c>
      <c r="C73" s="8">
        <v>311</v>
      </c>
    </row>
    <row r="74" spans="2:3" x14ac:dyDescent="0.3">
      <c r="B74" s="8">
        <v>340</v>
      </c>
      <c r="C74" s="8">
        <v>373</v>
      </c>
    </row>
    <row r="75" spans="2:3" x14ac:dyDescent="0.3">
      <c r="B75" s="8">
        <v>155</v>
      </c>
      <c r="C75" s="8">
        <v>196</v>
      </c>
    </row>
    <row r="76" spans="2:3" x14ac:dyDescent="0.3">
      <c r="B76" s="8">
        <v>263</v>
      </c>
      <c r="C76" s="8">
        <v>306</v>
      </c>
    </row>
    <row r="77" spans="2:3" x14ac:dyDescent="0.3">
      <c r="B77" s="8">
        <v>265</v>
      </c>
      <c r="C77" s="8">
        <v>302</v>
      </c>
    </row>
    <row r="78" spans="2:3" x14ac:dyDescent="0.3">
      <c r="B78" s="8">
        <v>249</v>
      </c>
      <c r="C78" s="8">
        <v>278</v>
      </c>
    </row>
    <row r="79" spans="2:3" x14ac:dyDescent="0.3">
      <c r="B79" s="8">
        <v>377</v>
      </c>
      <c r="C79" s="8">
        <v>429</v>
      </c>
    </row>
    <row r="80" spans="2:3" x14ac:dyDescent="0.3">
      <c r="B80" s="8">
        <v>301</v>
      </c>
      <c r="C80" s="8">
        <v>338</v>
      </c>
    </row>
    <row r="81" spans="2:3" x14ac:dyDescent="0.3">
      <c r="B81" s="8">
        <v>242</v>
      </c>
      <c r="C81" s="8">
        <v>261</v>
      </c>
    </row>
    <row r="82" spans="2:3" x14ac:dyDescent="0.3">
      <c r="B82" s="8">
        <v>211</v>
      </c>
      <c r="C82" s="8">
        <v>256</v>
      </c>
    </row>
    <row r="83" spans="2:3" x14ac:dyDescent="0.3">
      <c r="B83" s="8">
        <v>160</v>
      </c>
      <c r="C83" s="8">
        <v>183</v>
      </c>
    </row>
    <row r="84" spans="2:3" x14ac:dyDescent="0.3">
      <c r="B84" s="8">
        <v>218</v>
      </c>
      <c r="C84" s="8">
        <v>274</v>
      </c>
    </row>
    <row r="85" spans="2:3" x14ac:dyDescent="0.3">
      <c r="B85" s="8">
        <v>133</v>
      </c>
      <c r="C85" s="8">
        <v>182</v>
      </c>
    </row>
    <row r="86" spans="2:3" x14ac:dyDescent="0.3">
      <c r="B86" s="8">
        <v>122</v>
      </c>
      <c r="C86" s="8">
        <v>183</v>
      </c>
    </row>
    <row r="87" spans="2:3" x14ac:dyDescent="0.3">
      <c r="B87" s="8">
        <v>236</v>
      </c>
      <c r="C87" s="8">
        <v>309</v>
      </c>
    </row>
    <row r="88" spans="2:3" x14ac:dyDescent="0.3">
      <c r="B88" s="8">
        <v>143</v>
      </c>
      <c r="C88" s="8">
        <v>178</v>
      </c>
    </row>
    <row r="89" spans="2:3" x14ac:dyDescent="0.3">
      <c r="B89" s="8">
        <v>354</v>
      </c>
      <c r="C89" s="8">
        <v>458</v>
      </c>
    </row>
    <row r="90" spans="2:3" x14ac:dyDescent="0.3">
      <c r="B90" s="8">
        <v>214</v>
      </c>
      <c r="C90" s="8">
        <v>234</v>
      </c>
    </row>
    <row r="91" spans="2:3" x14ac:dyDescent="0.3">
      <c r="B91" s="8">
        <v>225</v>
      </c>
      <c r="C91" s="8">
        <v>306</v>
      </c>
    </row>
    <row r="92" spans="2:3" x14ac:dyDescent="0.3">
      <c r="B92" s="8">
        <v>261</v>
      </c>
      <c r="C92" s="8">
        <v>400</v>
      </c>
    </row>
    <row r="93" spans="2:3" x14ac:dyDescent="0.3">
      <c r="B93" s="8">
        <v>277</v>
      </c>
      <c r="C93" s="8">
        <v>337</v>
      </c>
    </row>
    <row r="94" spans="2:3" x14ac:dyDescent="0.3">
      <c r="B94" s="8">
        <v>282</v>
      </c>
      <c r="C94" s="8">
        <v>325</v>
      </c>
    </row>
    <row r="95" spans="2:3" x14ac:dyDescent="0.3">
      <c r="B95" s="8">
        <v>322</v>
      </c>
      <c r="C95" s="8">
        <v>329</v>
      </c>
    </row>
    <row r="96" spans="2:3" x14ac:dyDescent="0.3">
      <c r="B96" s="8">
        <v>326</v>
      </c>
      <c r="C96" s="8">
        <v>369</v>
      </c>
    </row>
    <row r="97" spans="2:3" x14ac:dyDescent="0.3">
      <c r="B97" s="8">
        <v>421</v>
      </c>
      <c r="C97" s="8">
        <v>457</v>
      </c>
    </row>
    <row r="98" spans="2:3" x14ac:dyDescent="0.3">
      <c r="B98" s="8">
        <v>368</v>
      </c>
      <c r="C98" s="8">
        <v>421</v>
      </c>
    </row>
    <row r="99" spans="2:3" x14ac:dyDescent="0.3">
      <c r="B99" s="8">
        <v>279</v>
      </c>
      <c r="C99" s="8">
        <v>282</v>
      </c>
    </row>
    <row r="100" spans="2:3" x14ac:dyDescent="0.3">
      <c r="B100" s="8">
        <v>268</v>
      </c>
      <c r="C100" s="8">
        <v>256</v>
      </c>
    </row>
  </sheetData>
  <mergeCells count="4">
    <mergeCell ref="E5:F5"/>
    <mergeCell ref="H5:I5"/>
    <mergeCell ref="K5:L5"/>
    <mergeCell ref="N5:O5"/>
  </mergeCells>
  <pageMargins left="0.7" right="0.7" top="0.75" bottom="0.75" header="0.3" footer="0.3"/>
  <pageSetup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3A590-F644-408A-A506-5EF95CAB4896}">
  <sheetPr codeName="Sheet55">
    <tabColor rgb="FFEFE5F7"/>
  </sheetPr>
  <dimension ref="B1:O100"/>
  <sheetViews>
    <sheetView showGridLines="0" workbookViewId="0">
      <selection activeCell="O11" sqref="O11"/>
    </sheetView>
  </sheetViews>
  <sheetFormatPr defaultRowHeight="14.4" x14ac:dyDescent="0.3"/>
  <cols>
    <col min="1" max="1" width="2.88671875" customWidth="1"/>
    <col min="2" max="2" width="20.6640625" bestFit="1" customWidth="1"/>
    <col min="3" max="3" width="19.33203125" bestFit="1" customWidth="1"/>
    <col min="5" max="5" width="14.33203125" customWidth="1"/>
    <col min="6" max="6" width="9.109375" customWidth="1"/>
    <col min="8" max="8" width="11.44140625" customWidth="1"/>
    <col min="14" max="14" width="15.109375" bestFit="1" customWidth="1"/>
    <col min="15" max="15" width="11.44140625" customWidth="1"/>
  </cols>
  <sheetData>
    <row r="1" spans="2:15" ht="25.5" customHeight="1" x14ac:dyDescent="0.35">
      <c r="B1" s="17" t="s">
        <v>232</v>
      </c>
    </row>
    <row r="2" spans="2:15" ht="15" customHeight="1" x14ac:dyDescent="0.3">
      <c r="B2" s="27" t="s">
        <v>230</v>
      </c>
    </row>
    <row r="3" spans="2:15" ht="18" customHeight="1" x14ac:dyDescent="0.3"/>
    <row r="4" spans="2:15" x14ac:dyDescent="0.3">
      <c r="E4" s="3"/>
    </row>
    <row r="5" spans="2:15" x14ac:dyDescent="0.3">
      <c r="B5" s="39" t="s">
        <v>21</v>
      </c>
      <c r="C5" s="39" t="s">
        <v>22</v>
      </c>
      <c r="E5" s="108" t="s">
        <v>205</v>
      </c>
      <c r="F5" s="108"/>
      <c r="H5" s="108" t="s">
        <v>216</v>
      </c>
      <c r="I5" s="108"/>
      <c r="K5" s="108" t="s">
        <v>215</v>
      </c>
      <c r="L5" s="108"/>
      <c r="N5" s="108" t="s">
        <v>221</v>
      </c>
      <c r="O5" s="108"/>
    </row>
    <row r="6" spans="2:15" x14ac:dyDescent="0.3">
      <c r="B6" s="46">
        <v>252</v>
      </c>
      <c r="C6" s="46">
        <v>276</v>
      </c>
      <c r="E6" s="19" t="s">
        <v>206</v>
      </c>
      <c r="F6" s="81">
        <f>PEARSON(B6:B100,C6:C100)</f>
        <v>0.94886589689776391</v>
      </c>
      <c r="H6" s="19" t="s">
        <v>213</v>
      </c>
      <c r="I6" s="69">
        <f>INTERCEPT(C6:C100,B6:B100)</f>
        <v>41.63016671209175</v>
      </c>
      <c r="K6" s="19" t="s">
        <v>210</v>
      </c>
      <c r="L6" s="65">
        <v>250</v>
      </c>
      <c r="N6" s="52" t="s">
        <v>222</v>
      </c>
      <c r="O6" s="91" cm="1">
        <f t="array" ref="O6">SUMSQ(C6:C100-_xlfn.FORECAST.LINEAR(B6:B100,C6:C100,B6:B100))</f>
        <v>81929.289620086478</v>
      </c>
    </row>
    <row r="7" spans="2:15" x14ac:dyDescent="0.3">
      <c r="B7" s="8">
        <v>423</v>
      </c>
      <c r="C7" s="8">
        <v>410</v>
      </c>
      <c r="H7" s="19" t="s">
        <v>214</v>
      </c>
      <c r="I7" s="81">
        <f>SLOPE(C6:C100,B6:B100)</f>
        <v>1.0325625976197308</v>
      </c>
      <c r="K7" s="19" t="s">
        <v>211</v>
      </c>
      <c r="L7" s="66">
        <f>_xlfn.FORECAST.LINEAR(L6,C6:C100,B6:B100)</f>
        <v>299.77081611702442</v>
      </c>
      <c r="N7" s="52" t="s">
        <v>223</v>
      </c>
      <c r="O7" s="91" cm="1">
        <f t="array" ref="O7">SUMSQ(C6:C100-AVERAGE(C6:C100))</f>
        <v>822141.5368421051</v>
      </c>
    </row>
    <row r="8" spans="2:15" x14ac:dyDescent="0.3">
      <c r="B8" s="8">
        <v>101</v>
      </c>
      <c r="C8" s="8">
        <v>119</v>
      </c>
      <c r="N8" s="19" t="s">
        <v>224</v>
      </c>
      <c r="O8" s="81">
        <f>RSQ(C6:C100,B6:B100)</f>
        <v>0.90034649029559788</v>
      </c>
    </row>
    <row r="9" spans="2:15" x14ac:dyDescent="0.3">
      <c r="B9" s="8">
        <v>288</v>
      </c>
      <c r="C9" s="8">
        <v>334</v>
      </c>
      <c r="N9" s="52" t="s">
        <v>227</v>
      </c>
      <c r="O9" s="91">
        <f>O6/(COUNT(C6:C100)-1-1)</f>
        <v>880.96010344179012</v>
      </c>
    </row>
    <row r="10" spans="2:15" x14ac:dyDescent="0.3">
      <c r="B10" s="8">
        <v>248</v>
      </c>
      <c r="C10" s="8">
        <v>252</v>
      </c>
      <c r="N10" s="19" t="s">
        <v>135</v>
      </c>
      <c r="O10" s="69">
        <f>STEYX(C6:C100,B6:B100)</f>
        <v>29.680972077103387</v>
      </c>
    </row>
    <row r="11" spans="2:15" x14ac:dyDescent="0.3">
      <c r="B11" s="8">
        <v>145</v>
      </c>
      <c r="C11" s="8">
        <v>209</v>
      </c>
    </row>
    <row r="12" spans="2:15" x14ac:dyDescent="0.3">
      <c r="B12" s="8">
        <v>401</v>
      </c>
      <c r="C12" s="8">
        <v>462</v>
      </c>
    </row>
    <row r="13" spans="2:15" x14ac:dyDescent="0.3">
      <c r="B13" s="8">
        <v>287</v>
      </c>
      <c r="C13" s="8">
        <v>342</v>
      </c>
    </row>
    <row r="14" spans="2:15" x14ac:dyDescent="0.3">
      <c r="B14" s="8">
        <v>275</v>
      </c>
      <c r="C14" s="8">
        <v>347</v>
      </c>
    </row>
    <row r="15" spans="2:15" x14ac:dyDescent="0.3">
      <c r="B15" s="8">
        <v>254</v>
      </c>
      <c r="C15" s="8">
        <v>313</v>
      </c>
    </row>
    <row r="16" spans="2:15" x14ac:dyDescent="0.3">
      <c r="B16" s="8">
        <v>182</v>
      </c>
      <c r="C16" s="8">
        <v>232</v>
      </c>
    </row>
    <row r="17" spans="2:3" x14ac:dyDescent="0.3">
      <c r="B17" s="8">
        <v>117</v>
      </c>
      <c r="C17" s="8">
        <v>163</v>
      </c>
    </row>
    <row r="18" spans="2:3" x14ac:dyDescent="0.3">
      <c r="B18" s="8">
        <v>130</v>
      </c>
      <c r="C18" s="8">
        <v>119</v>
      </c>
    </row>
    <row r="19" spans="2:3" x14ac:dyDescent="0.3">
      <c r="B19" s="8">
        <v>219</v>
      </c>
      <c r="C19" s="8">
        <v>304</v>
      </c>
    </row>
    <row r="20" spans="2:3" x14ac:dyDescent="0.3">
      <c r="B20" s="8">
        <v>152</v>
      </c>
      <c r="C20" s="8">
        <v>211</v>
      </c>
    </row>
    <row r="21" spans="2:3" x14ac:dyDescent="0.3">
      <c r="B21" s="8">
        <v>228</v>
      </c>
      <c r="C21" s="8">
        <v>286</v>
      </c>
    </row>
    <row r="22" spans="2:3" x14ac:dyDescent="0.3">
      <c r="B22" s="8">
        <v>62</v>
      </c>
      <c r="C22" s="8">
        <v>122</v>
      </c>
    </row>
    <row r="23" spans="2:3" x14ac:dyDescent="0.3">
      <c r="B23" s="8">
        <v>393</v>
      </c>
      <c r="C23" s="8">
        <v>443</v>
      </c>
    </row>
    <row r="24" spans="2:3" x14ac:dyDescent="0.3">
      <c r="B24" s="8">
        <v>277</v>
      </c>
      <c r="C24" s="8">
        <v>366</v>
      </c>
    </row>
    <row r="25" spans="2:3" x14ac:dyDescent="0.3">
      <c r="B25" s="8">
        <v>206</v>
      </c>
      <c r="C25" s="8">
        <v>244</v>
      </c>
    </row>
    <row r="26" spans="2:3" x14ac:dyDescent="0.3">
      <c r="B26" s="8">
        <v>229</v>
      </c>
      <c r="C26" s="8">
        <v>241</v>
      </c>
    </row>
    <row r="27" spans="2:3" x14ac:dyDescent="0.3">
      <c r="B27" s="8">
        <v>182</v>
      </c>
      <c r="C27" s="8">
        <v>237</v>
      </c>
    </row>
    <row r="28" spans="2:3" x14ac:dyDescent="0.3">
      <c r="B28" s="8">
        <v>98</v>
      </c>
      <c r="C28" s="8">
        <v>122</v>
      </c>
    </row>
    <row r="29" spans="2:3" x14ac:dyDescent="0.3">
      <c r="B29" s="8">
        <v>125</v>
      </c>
      <c r="C29" s="8">
        <v>129</v>
      </c>
    </row>
    <row r="30" spans="2:3" x14ac:dyDescent="0.3">
      <c r="B30" s="8">
        <v>164</v>
      </c>
      <c r="C30" s="8">
        <v>236</v>
      </c>
    </row>
    <row r="31" spans="2:3" x14ac:dyDescent="0.3">
      <c r="B31" s="8">
        <v>186</v>
      </c>
      <c r="C31" s="8">
        <v>251</v>
      </c>
    </row>
    <row r="32" spans="2:3" x14ac:dyDescent="0.3">
      <c r="B32" s="8">
        <v>235</v>
      </c>
      <c r="C32" s="8">
        <v>283</v>
      </c>
    </row>
    <row r="33" spans="2:3" x14ac:dyDescent="0.3">
      <c r="B33" s="8">
        <v>184</v>
      </c>
      <c r="C33" s="8">
        <v>225</v>
      </c>
    </row>
    <row r="34" spans="2:3" x14ac:dyDescent="0.3">
      <c r="B34" s="8">
        <v>76</v>
      </c>
      <c r="C34" s="8">
        <v>102</v>
      </c>
    </row>
    <row r="35" spans="2:3" x14ac:dyDescent="0.3">
      <c r="B35" s="8">
        <v>126</v>
      </c>
      <c r="C35" s="8">
        <v>180</v>
      </c>
    </row>
    <row r="36" spans="2:3" x14ac:dyDescent="0.3">
      <c r="B36" s="8">
        <v>183</v>
      </c>
      <c r="C36" s="8">
        <v>247</v>
      </c>
    </row>
    <row r="37" spans="2:3" x14ac:dyDescent="0.3">
      <c r="B37" s="8">
        <v>242</v>
      </c>
      <c r="C37" s="8">
        <v>343</v>
      </c>
    </row>
    <row r="38" spans="2:3" x14ac:dyDescent="0.3">
      <c r="B38" s="8">
        <v>207</v>
      </c>
      <c r="C38" s="8">
        <v>283</v>
      </c>
    </row>
    <row r="39" spans="2:3" x14ac:dyDescent="0.3">
      <c r="B39" s="8">
        <v>181</v>
      </c>
      <c r="C39" s="8">
        <v>253</v>
      </c>
    </row>
    <row r="40" spans="2:3" x14ac:dyDescent="0.3">
      <c r="B40" s="8">
        <v>239</v>
      </c>
      <c r="C40" s="8">
        <v>263</v>
      </c>
    </row>
    <row r="41" spans="2:3" x14ac:dyDescent="0.3">
      <c r="B41" s="8">
        <v>216</v>
      </c>
      <c r="C41" s="8">
        <v>291</v>
      </c>
    </row>
    <row r="42" spans="2:3" x14ac:dyDescent="0.3">
      <c r="B42" s="8">
        <v>289</v>
      </c>
      <c r="C42" s="8">
        <v>368</v>
      </c>
    </row>
    <row r="43" spans="2:3" x14ac:dyDescent="0.3">
      <c r="B43" s="8">
        <v>213</v>
      </c>
      <c r="C43" s="8">
        <v>206</v>
      </c>
    </row>
    <row r="44" spans="2:3" x14ac:dyDescent="0.3">
      <c r="B44" s="8">
        <v>209</v>
      </c>
      <c r="C44" s="8">
        <v>231</v>
      </c>
    </row>
    <row r="45" spans="2:3" x14ac:dyDescent="0.3">
      <c r="B45" s="8">
        <v>376</v>
      </c>
      <c r="C45" s="8">
        <v>389</v>
      </c>
    </row>
    <row r="46" spans="2:3" x14ac:dyDescent="0.3">
      <c r="B46" s="8">
        <v>332</v>
      </c>
      <c r="C46" s="8">
        <v>396</v>
      </c>
    </row>
    <row r="47" spans="2:3" x14ac:dyDescent="0.3">
      <c r="B47" s="8">
        <v>249</v>
      </c>
      <c r="C47" s="8">
        <v>339</v>
      </c>
    </row>
    <row r="48" spans="2:3" x14ac:dyDescent="0.3">
      <c r="B48" s="8">
        <v>228</v>
      </c>
      <c r="C48" s="8">
        <v>286</v>
      </c>
    </row>
    <row r="49" spans="2:3" x14ac:dyDescent="0.3">
      <c r="B49" s="8">
        <v>124</v>
      </c>
      <c r="C49" s="8">
        <v>146</v>
      </c>
    </row>
    <row r="50" spans="2:3" x14ac:dyDescent="0.3">
      <c r="B50" s="8">
        <v>194</v>
      </c>
      <c r="C50" s="8">
        <v>315</v>
      </c>
    </row>
    <row r="51" spans="2:3" x14ac:dyDescent="0.3">
      <c r="B51" s="8">
        <v>157</v>
      </c>
      <c r="C51" s="8">
        <v>183</v>
      </c>
    </row>
    <row r="52" spans="2:3" x14ac:dyDescent="0.3">
      <c r="B52" s="8">
        <v>402</v>
      </c>
      <c r="C52" s="8">
        <v>481</v>
      </c>
    </row>
    <row r="53" spans="2:3" x14ac:dyDescent="0.3">
      <c r="B53" s="8">
        <v>323</v>
      </c>
      <c r="C53" s="8">
        <v>349</v>
      </c>
    </row>
    <row r="54" spans="2:3" x14ac:dyDescent="0.3">
      <c r="B54" s="8">
        <v>181</v>
      </c>
      <c r="C54" s="8">
        <v>225</v>
      </c>
    </row>
    <row r="55" spans="2:3" x14ac:dyDescent="0.3">
      <c r="B55" s="8">
        <v>157</v>
      </c>
      <c r="C55" s="8">
        <v>217</v>
      </c>
    </row>
    <row r="56" spans="2:3" x14ac:dyDescent="0.3">
      <c r="B56" s="8">
        <v>266</v>
      </c>
      <c r="C56" s="8">
        <v>353</v>
      </c>
    </row>
    <row r="57" spans="2:3" x14ac:dyDescent="0.3">
      <c r="B57" s="8">
        <v>268</v>
      </c>
      <c r="C57" s="8">
        <v>314</v>
      </c>
    </row>
    <row r="58" spans="2:3" x14ac:dyDescent="0.3">
      <c r="B58" s="8">
        <v>167</v>
      </c>
      <c r="C58" s="8">
        <v>247</v>
      </c>
    </row>
    <row r="59" spans="2:3" x14ac:dyDescent="0.3">
      <c r="B59" s="8">
        <v>342</v>
      </c>
      <c r="C59" s="8">
        <v>410</v>
      </c>
    </row>
    <row r="60" spans="2:3" x14ac:dyDescent="0.3">
      <c r="B60" s="8">
        <v>349</v>
      </c>
      <c r="C60" s="8">
        <v>395</v>
      </c>
    </row>
    <row r="61" spans="2:3" x14ac:dyDescent="0.3">
      <c r="B61" s="8">
        <v>340</v>
      </c>
      <c r="C61" s="8">
        <v>416</v>
      </c>
    </row>
    <row r="62" spans="2:3" x14ac:dyDescent="0.3">
      <c r="B62" s="8">
        <v>227</v>
      </c>
      <c r="C62" s="8">
        <v>342</v>
      </c>
    </row>
    <row r="63" spans="2:3" x14ac:dyDescent="0.3">
      <c r="B63" s="8">
        <v>409</v>
      </c>
      <c r="C63" s="8">
        <v>446</v>
      </c>
    </row>
    <row r="64" spans="2:3" x14ac:dyDescent="0.3">
      <c r="B64" s="8">
        <v>400</v>
      </c>
      <c r="C64" s="8">
        <v>477</v>
      </c>
    </row>
    <row r="65" spans="2:3" x14ac:dyDescent="0.3">
      <c r="B65" s="8">
        <v>374</v>
      </c>
      <c r="C65" s="8">
        <v>444</v>
      </c>
    </row>
    <row r="66" spans="2:3" x14ac:dyDescent="0.3">
      <c r="B66" s="8">
        <v>255</v>
      </c>
      <c r="C66" s="8">
        <v>351</v>
      </c>
    </row>
    <row r="67" spans="2:3" x14ac:dyDescent="0.3">
      <c r="B67" s="8">
        <v>146</v>
      </c>
      <c r="C67" s="8">
        <v>165</v>
      </c>
    </row>
    <row r="68" spans="2:3" x14ac:dyDescent="0.3">
      <c r="B68" s="8">
        <v>248</v>
      </c>
      <c r="C68" s="8">
        <v>317</v>
      </c>
    </row>
    <row r="69" spans="2:3" x14ac:dyDescent="0.3">
      <c r="B69" s="8">
        <v>198</v>
      </c>
      <c r="C69" s="8">
        <v>250</v>
      </c>
    </row>
    <row r="70" spans="2:3" x14ac:dyDescent="0.3">
      <c r="B70" s="8">
        <v>210</v>
      </c>
      <c r="C70" s="8">
        <v>217</v>
      </c>
    </row>
    <row r="71" spans="2:3" x14ac:dyDescent="0.3">
      <c r="B71" s="8">
        <v>107</v>
      </c>
      <c r="C71" s="8">
        <v>138</v>
      </c>
    </row>
    <row r="72" spans="2:3" x14ac:dyDescent="0.3">
      <c r="B72" s="8">
        <v>239</v>
      </c>
      <c r="C72" s="8">
        <v>302</v>
      </c>
    </row>
    <row r="73" spans="2:3" x14ac:dyDescent="0.3">
      <c r="B73" s="8">
        <v>287</v>
      </c>
      <c r="C73" s="8">
        <v>311</v>
      </c>
    </row>
    <row r="74" spans="2:3" x14ac:dyDescent="0.3">
      <c r="B74" s="8">
        <v>340</v>
      </c>
      <c r="C74" s="8">
        <v>373</v>
      </c>
    </row>
    <row r="75" spans="2:3" x14ac:dyDescent="0.3">
      <c r="B75" s="8">
        <v>155</v>
      </c>
      <c r="C75" s="8">
        <v>196</v>
      </c>
    </row>
    <row r="76" spans="2:3" x14ac:dyDescent="0.3">
      <c r="B76" s="8">
        <v>263</v>
      </c>
      <c r="C76" s="8">
        <v>306</v>
      </c>
    </row>
    <row r="77" spans="2:3" x14ac:dyDescent="0.3">
      <c r="B77" s="8">
        <v>265</v>
      </c>
      <c r="C77" s="8">
        <v>302</v>
      </c>
    </row>
    <row r="78" spans="2:3" x14ac:dyDescent="0.3">
      <c r="B78" s="8">
        <v>249</v>
      </c>
      <c r="C78" s="8">
        <v>278</v>
      </c>
    </row>
    <row r="79" spans="2:3" x14ac:dyDescent="0.3">
      <c r="B79" s="8">
        <v>377</v>
      </c>
      <c r="C79" s="8">
        <v>429</v>
      </c>
    </row>
    <row r="80" spans="2:3" x14ac:dyDescent="0.3">
      <c r="B80" s="8">
        <v>301</v>
      </c>
      <c r="C80" s="8">
        <v>338</v>
      </c>
    </row>
    <row r="81" spans="2:3" x14ac:dyDescent="0.3">
      <c r="B81" s="8">
        <v>242</v>
      </c>
      <c r="C81" s="8">
        <v>261</v>
      </c>
    </row>
    <row r="82" spans="2:3" x14ac:dyDescent="0.3">
      <c r="B82" s="8">
        <v>211</v>
      </c>
      <c r="C82" s="8">
        <v>256</v>
      </c>
    </row>
    <row r="83" spans="2:3" x14ac:dyDescent="0.3">
      <c r="B83" s="8">
        <v>160</v>
      </c>
      <c r="C83" s="8">
        <v>183</v>
      </c>
    </row>
    <row r="84" spans="2:3" x14ac:dyDescent="0.3">
      <c r="B84" s="8">
        <v>218</v>
      </c>
      <c r="C84" s="8">
        <v>274</v>
      </c>
    </row>
    <row r="85" spans="2:3" x14ac:dyDescent="0.3">
      <c r="B85" s="8">
        <v>133</v>
      </c>
      <c r="C85" s="8">
        <v>182</v>
      </c>
    </row>
    <row r="86" spans="2:3" x14ac:dyDescent="0.3">
      <c r="B86" s="8">
        <v>122</v>
      </c>
      <c r="C86" s="8">
        <v>183</v>
      </c>
    </row>
    <row r="87" spans="2:3" x14ac:dyDescent="0.3">
      <c r="B87" s="8">
        <v>236</v>
      </c>
      <c r="C87" s="8">
        <v>309</v>
      </c>
    </row>
    <row r="88" spans="2:3" x14ac:dyDescent="0.3">
      <c r="B88" s="8">
        <v>143</v>
      </c>
      <c r="C88" s="8">
        <v>178</v>
      </c>
    </row>
    <row r="89" spans="2:3" x14ac:dyDescent="0.3">
      <c r="B89" s="8">
        <v>354</v>
      </c>
      <c r="C89" s="8">
        <v>458</v>
      </c>
    </row>
    <row r="90" spans="2:3" x14ac:dyDescent="0.3">
      <c r="B90" s="8">
        <v>214</v>
      </c>
      <c r="C90" s="8">
        <v>234</v>
      </c>
    </row>
    <row r="91" spans="2:3" x14ac:dyDescent="0.3">
      <c r="B91" s="8">
        <v>225</v>
      </c>
      <c r="C91" s="8">
        <v>306</v>
      </c>
    </row>
    <row r="92" spans="2:3" x14ac:dyDescent="0.3">
      <c r="B92" s="8">
        <v>261</v>
      </c>
      <c r="C92" s="8">
        <v>400</v>
      </c>
    </row>
    <row r="93" spans="2:3" x14ac:dyDescent="0.3">
      <c r="B93" s="8">
        <v>277</v>
      </c>
      <c r="C93" s="8">
        <v>337</v>
      </c>
    </row>
    <row r="94" spans="2:3" x14ac:dyDescent="0.3">
      <c r="B94" s="8">
        <v>282</v>
      </c>
      <c r="C94" s="8">
        <v>325</v>
      </c>
    </row>
    <row r="95" spans="2:3" x14ac:dyDescent="0.3">
      <c r="B95" s="8">
        <v>322</v>
      </c>
      <c r="C95" s="8">
        <v>329</v>
      </c>
    </row>
    <row r="96" spans="2:3" x14ac:dyDescent="0.3">
      <c r="B96" s="8">
        <v>326</v>
      </c>
      <c r="C96" s="8">
        <v>369</v>
      </c>
    </row>
    <row r="97" spans="2:3" x14ac:dyDescent="0.3">
      <c r="B97" s="8">
        <v>421</v>
      </c>
      <c r="C97" s="8">
        <v>457</v>
      </c>
    </row>
    <row r="98" spans="2:3" x14ac:dyDescent="0.3">
      <c r="B98" s="8">
        <v>368</v>
      </c>
      <c r="C98" s="8">
        <v>421</v>
      </c>
    </row>
    <row r="99" spans="2:3" x14ac:dyDescent="0.3">
      <c r="B99" s="8">
        <v>279</v>
      </c>
      <c r="C99" s="8">
        <v>282</v>
      </c>
    </row>
    <row r="100" spans="2:3" x14ac:dyDescent="0.3">
      <c r="B100" s="8">
        <v>268</v>
      </c>
      <c r="C100" s="8">
        <v>256</v>
      </c>
    </row>
  </sheetData>
  <mergeCells count="4">
    <mergeCell ref="E5:F5"/>
    <mergeCell ref="H5:I5"/>
    <mergeCell ref="K5:L5"/>
    <mergeCell ref="N5:O5"/>
  </mergeCells>
  <pageMargins left="0.7" right="0.7" top="0.75" bottom="0.75" header="0.3" footer="0.3"/>
  <pageSetup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01E9B-3E68-454B-9032-6F25B64FF30C}">
  <sheetPr codeName="Sheet58">
    <tabColor rgb="FFEFE5F7"/>
  </sheetPr>
  <dimension ref="B1:O100"/>
  <sheetViews>
    <sheetView showGridLines="0" workbookViewId="0">
      <selection activeCell="O15" sqref="O15"/>
    </sheetView>
  </sheetViews>
  <sheetFormatPr defaultRowHeight="14.4" x14ac:dyDescent="0.3"/>
  <cols>
    <col min="1" max="1" width="2.88671875" customWidth="1"/>
    <col min="2" max="2" width="20.6640625" bestFit="1" customWidth="1"/>
    <col min="3" max="3" width="19.33203125" bestFit="1" customWidth="1"/>
    <col min="5" max="5" width="14.33203125" customWidth="1"/>
    <col min="6" max="6" width="9.109375" customWidth="1"/>
    <col min="8" max="8" width="11.44140625" customWidth="1"/>
    <col min="14" max="14" width="16" bestFit="1" customWidth="1"/>
    <col min="15" max="15" width="11.44140625" customWidth="1"/>
  </cols>
  <sheetData>
    <row r="1" spans="2:15" ht="25.5" customHeight="1" x14ac:dyDescent="0.35">
      <c r="B1" s="17" t="s">
        <v>281</v>
      </c>
    </row>
    <row r="2" spans="2:15" ht="15" customHeight="1" x14ac:dyDescent="0.3">
      <c r="B2" s="27" t="s">
        <v>212</v>
      </c>
    </row>
    <row r="3" spans="2:15" ht="18" customHeight="1" x14ac:dyDescent="0.3"/>
    <row r="4" spans="2:15" x14ac:dyDescent="0.3">
      <c r="E4" s="3"/>
    </row>
    <row r="5" spans="2:15" x14ac:dyDescent="0.3">
      <c r="B5" s="39" t="s">
        <v>21</v>
      </c>
      <c r="C5" s="39" t="s">
        <v>22</v>
      </c>
      <c r="E5" s="108" t="s">
        <v>205</v>
      </c>
      <c r="F5" s="108"/>
      <c r="H5" s="108" t="s">
        <v>216</v>
      </c>
      <c r="I5" s="108"/>
      <c r="K5" s="108" t="s">
        <v>215</v>
      </c>
      <c r="L5" s="108"/>
      <c r="N5" s="108" t="s">
        <v>221</v>
      </c>
      <c r="O5" s="108"/>
    </row>
    <row r="6" spans="2:15" x14ac:dyDescent="0.3">
      <c r="B6" s="46">
        <v>252</v>
      </c>
      <c r="C6" s="46">
        <v>276</v>
      </c>
      <c r="E6" s="19" t="s">
        <v>206</v>
      </c>
      <c r="F6" s="81">
        <f>PEARSON(B6:B100,C6:C100)</f>
        <v>0.94886589689776391</v>
      </c>
      <c r="H6" s="19" t="s">
        <v>213</v>
      </c>
      <c r="I6" s="69">
        <f>INTERCEPT(C6:C100,B6:B100)</f>
        <v>41.63016671209175</v>
      </c>
      <c r="K6" s="19" t="s">
        <v>210</v>
      </c>
      <c r="L6" s="65">
        <v>250</v>
      </c>
      <c r="N6" s="52" t="s">
        <v>222</v>
      </c>
      <c r="O6" s="91" cm="1">
        <f t="array" ref="O6">SUMSQ(C6:C100-_xlfn.FORECAST.LINEAR(B6:B100,C6:C100,B6:B100))</f>
        <v>81929.289620086478</v>
      </c>
    </row>
    <row r="7" spans="2:15" x14ac:dyDescent="0.3">
      <c r="B7" s="8">
        <v>423</v>
      </c>
      <c r="C7" s="8">
        <v>410</v>
      </c>
      <c r="H7" s="19" t="s">
        <v>214</v>
      </c>
      <c r="I7" s="81">
        <f>SLOPE(C6:C100,B6:B100)</f>
        <v>1.0325625976197308</v>
      </c>
      <c r="K7" s="19" t="s">
        <v>211</v>
      </c>
      <c r="L7" s="66">
        <f>_xlfn.FORECAST.LINEAR(L6,C6:C100,B6:B100)</f>
        <v>299.77081611702442</v>
      </c>
      <c r="N7" s="52" t="s">
        <v>223</v>
      </c>
      <c r="O7" s="91" cm="1">
        <f t="array" ref="O7">SUMSQ(C6:C100-AVERAGE(C6:C100))</f>
        <v>822141.5368421051</v>
      </c>
    </row>
    <row r="8" spans="2:15" x14ac:dyDescent="0.3">
      <c r="B8" s="8">
        <v>101</v>
      </c>
      <c r="C8" s="8">
        <v>119</v>
      </c>
      <c r="N8" s="19" t="s">
        <v>224</v>
      </c>
      <c r="O8" s="81">
        <f>RSQ(C6:C100,B6:B100)</f>
        <v>0.90034649029559788</v>
      </c>
    </row>
    <row r="9" spans="2:15" x14ac:dyDescent="0.3">
      <c r="B9" s="8">
        <v>288</v>
      </c>
      <c r="C9" s="8">
        <v>334</v>
      </c>
      <c r="N9" s="52" t="s">
        <v>227</v>
      </c>
      <c r="O9" s="91">
        <f>O6/(COUNT(C6:C100)-1-1)</f>
        <v>880.96010344179012</v>
      </c>
    </row>
    <row r="10" spans="2:15" x14ac:dyDescent="0.3">
      <c r="B10" s="8">
        <v>248</v>
      </c>
      <c r="C10" s="8">
        <v>252</v>
      </c>
      <c r="N10" s="19" t="s">
        <v>135</v>
      </c>
      <c r="O10" s="69">
        <f>STEYX(C6:C100,B6:B100)</f>
        <v>29.680972077103387</v>
      </c>
    </row>
    <row r="11" spans="2:15" x14ac:dyDescent="0.3">
      <c r="B11" s="8">
        <v>145</v>
      </c>
      <c r="C11" s="8">
        <v>209</v>
      </c>
      <c r="N11" s="19" t="s">
        <v>132</v>
      </c>
      <c r="O11" s="65">
        <v>0.05</v>
      </c>
    </row>
    <row r="12" spans="2:15" x14ac:dyDescent="0.3">
      <c r="B12" s="8">
        <v>401</v>
      </c>
      <c r="C12" s="8">
        <v>462</v>
      </c>
      <c r="N12" s="52" t="s">
        <v>226</v>
      </c>
      <c r="O12" s="91">
        <f>(O7-O6)/1</f>
        <v>740212.24722201866</v>
      </c>
    </row>
    <row r="13" spans="2:15" x14ac:dyDescent="0.3">
      <c r="B13" s="8">
        <v>287</v>
      </c>
      <c r="C13" s="8">
        <v>342</v>
      </c>
      <c r="N13" s="19" t="s">
        <v>225</v>
      </c>
      <c r="O13" s="69">
        <f>O12/O9</f>
        <v>840.23356373360275</v>
      </c>
    </row>
    <row r="14" spans="2:15" x14ac:dyDescent="0.3">
      <c r="B14" s="8">
        <v>275</v>
      </c>
      <c r="C14" s="8">
        <v>347</v>
      </c>
      <c r="N14" s="19" t="s">
        <v>189</v>
      </c>
      <c r="O14" s="81">
        <f>_xlfn.F.DIST.RT(O13,1,COUNT(C6:C100)-1-1)</f>
        <v>2.3373706863266021E-48</v>
      </c>
    </row>
    <row r="15" spans="2:15" x14ac:dyDescent="0.3">
      <c r="B15" s="8">
        <v>254</v>
      </c>
      <c r="C15" s="8">
        <v>313</v>
      </c>
    </row>
    <row r="16" spans="2:15" x14ac:dyDescent="0.3">
      <c r="B16" s="8">
        <v>182</v>
      </c>
      <c r="C16" s="8">
        <v>232</v>
      </c>
    </row>
    <row r="17" spans="2:3" x14ac:dyDescent="0.3">
      <c r="B17" s="8">
        <v>117</v>
      </c>
      <c r="C17" s="8">
        <v>163</v>
      </c>
    </row>
    <row r="18" spans="2:3" x14ac:dyDescent="0.3">
      <c r="B18" s="8">
        <v>130</v>
      </c>
      <c r="C18" s="8">
        <v>119</v>
      </c>
    </row>
    <row r="19" spans="2:3" x14ac:dyDescent="0.3">
      <c r="B19" s="8">
        <v>219</v>
      </c>
      <c r="C19" s="8">
        <v>304</v>
      </c>
    </row>
    <row r="20" spans="2:3" x14ac:dyDescent="0.3">
      <c r="B20" s="8">
        <v>152</v>
      </c>
      <c r="C20" s="8">
        <v>211</v>
      </c>
    </row>
    <row r="21" spans="2:3" x14ac:dyDescent="0.3">
      <c r="B21" s="8">
        <v>228</v>
      </c>
      <c r="C21" s="8">
        <v>286</v>
      </c>
    </row>
    <row r="22" spans="2:3" x14ac:dyDescent="0.3">
      <c r="B22" s="8">
        <v>62</v>
      </c>
      <c r="C22" s="8">
        <v>122</v>
      </c>
    </row>
    <row r="23" spans="2:3" x14ac:dyDescent="0.3">
      <c r="B23" s="8">
        <v>393</v>
      </c>
      <c r="C23" s="8">
        <v>443</v>
      </c>
    </row>
    <row r="24" spans="2:3" x14ac:dyDescent="0.3">
      <c r="B24" s="8">
        <v>277</v>
      </c>
      <c r="C24" s="8">
        <v>366</v>
      </c>
    </row>
    <row r="25" spans="2:3" x14ac:dyDescent="0.3">
      <c r="B25" s="8">
        <v>206</v>
      </c>
      <c r="C25" s="8">
        <v>244</v>
      </c>
    </row>
    <row r="26" spans="2:3" x14ac:dyDescent="0.3">
      <c r="B26" s="8">
        <v>229</v>
      </c>
      <c r="C26" s="8">
        <v>241</v>
      </c>
    </row>
    <row r="27" spans="2:3" x14ac:dyDescent="0.3">
      <c r="B27" s="8">
        <v>182</v>
      </c>
      <c r="C27" s="8">
        <v>237</v>
      </c>
    </row>
    <row r="28" spans="2:3" x14ac:dyDescent="0.3">
      <c r="B28" s="8">
        <v>98</v>
      </c>
      <c r="C28" s="8">
        <v>122</v>
      </c>
    </row>
    <row r="29" spans="2:3" x14ac:dyDescent="0.3">
      <c r="B29" s="8">
        <v>125</v>
      </c>
      <c r="C29" s="8">
        <v>129</v>
      </c>
    </row>
    <row r="30" spans="2:3" x14ac:dyDescent="0.3">
      <c r="B30" s="8">
        <v>164</v>
      </c>
      <c r="C30" s="8">
        <v>236</v>
      </c>
    </row>
    <row r="31" spans="2:3" x14ac:dyDescent="0.3">
      <c r="B31" s="8">
        <v>186</v>
      </c>
      <c r="C31" s="8">
        <v>251</v>
      </c>
    </row>
    <row r="32" spans="2:3" x14ac:dyDescent="0.3">
      <c r="B32" s="8">
        <v>235</v>
      </c>
      <c r="C32" s="8">
        <v>283</v>
      </c>
    </row>
    <row r="33" spans="2:3" x14ac:dyDescent="0.3">
      <c r="B33" s="8">
        <v>184</v>
      </c>
      <c r="C33" s="8">
        <v>225</v>
      </c>
    </row>
    <row r="34" spans="2:3" x14ac:dyDescent="0.3">
      <c r="B34" s="8">
        <v>76</v>
      </c>
      <c r="C34" s="8">
        <v>102</v>
      </c>
    </row>
    <row r="35" spans="2:3" x14ac:dyDescent="0.3">
      <c r="B35" s="8">
        <v>126</v>
      </c>
      <c r="C35" s="8">
        <v>180</v>
      </c>
    </row>
    <row r="36" spans="2:3" x14ac:dyDescent="0.3">
      <c r="B36" s="8">
        <v>183</v>
      </c>
      <c r="C36" s="8">
        <v>247</v>
      </c>
    </row>
    <row r="37" spans="2:3" x14ac:dyDescent="0.3">
      <c r="B37" s="8">
        <v>242</v>
      </c>
      <c r="C37" s="8">
        <v>343</v>
      </c>
    </row>
    <row r="38" spans="2:3" x14ac:dyDescent="0.3">
      <c r="B38" s="8">
        <v>207</v>
      </c>
      <c r="C38" s="8">
        <v>283</v>
      </c>
    </row>
    <row r="39" spans="2:3" x14ac:dyDescent="0.3">
      <c r="B39" s="8">
        <v>181</v>
      </c>
      <c r="C39" s="8">
        <v>253</v>
      </c>
    </row>
    <row r="40" spans="2:3" x14ac:dyDescent="0.3">
      <c r="B40" s="8">
        <v>239</v>
      </c>
      <c r="C40" s="8">
        <v>263</v>
      </c>
    </row>
    <row r="41" spans="2:3" x14ac:dyDescent="0.3">
      <c r="B41" s="8">
        <v>216</v>
      </c>
      <c r="C41" s="8">
        <v>291</v>
      </c>
    </row>
    <row r="42" spans="2:3" x14ac:dyDescent="0.3">
      <c r="B42" s="8">
        <v>289</v>
      </c>
      <c r="C42" s="8">
        <v>368</v>
      </c>
    </row>
    <row r="43" spans="2:3" x14ac:dyDescent="0.3">
      <c r="B43" s="8">
        <v>213</v>
      </c>
      <c r="C43" s="8">
        <v>206</v>
      </c>
    </row>
    <row r="44" spans="2:3" x14ac:dyDescent="0.3">
      <c r="B44" s="8">
        <v>209</v>
      </c>
      <c r="C44" s="8">
        <v>231</v>
      </c>
    </row>
    <row r="45" spans="2:3" x14ac:dyDescent="0.3">
      <c r="B45" s="8">
        <v>376</v>
      </c>
      <c r="C45" s="8">
        <v>389</v>
      </c>
    </row>
    <row r="46" spans="2:3" x14ac:dyDescent="0.3">
      <c r="B46" s="8">
        <v>332</v>
      </c>
      <c r="C46" s="8">
        <v>396</v>
      </c>
    </row>
    <row r="47" spans="2:3" x14ac:dyDescent="0.3">
      <c r="B47" s="8">
        <v>249</v>
      </c>
      <c r="C47" s="8">
        <v>339</v>
      </c>
    </row>
    <row r="48" spans="2:3" x14ac:dyDescent="0.3">
      <c r="B48" s="8">
        <v>228</v>
      </c>
      <c r="C48" s="8">
        <v>286</v>
      </c>
    </row>
    <row r="49" spans="2:3" x14ac:dyDescent="0.3">
      <c r="B49" s="8">
        <v>124</v>
      </c>
      <c r="C49" s="8">
        <v>146</v>
      </c>
    </row>
    <row r="50" spans="2:3" x14ac:dyDescent="0.3">
      <c r="B50" s="8">
        <v>194</v>
      </c>
      <c r="C50" s="8">
        <v>315</v>
      </c>
    </row>
    <row r="51" spans="2:3" x14ac:dyDescent="0.3">
      <c r="B51" s="8">
        <v>157</v>
      </c>
      <c r="C51" s="8">
        <v>183</v>
      </c>
    </row>
    <row r="52" spans="2:3" x14ac:dyDescent="0.3">
      <c r="B52" s="8">
        <v>402</v>
      </c>
      <c r="C52" s="8">
        <v>481</v>
      </c>
    </row>
    <row r="53" spans="2:3" x14ac:dyDescent="0.3">
      <c r="B53" s="8">
        <v>323</v>
      </c>
      <c r="C53" s="8">
        <v>349</v>
      </c>
    </row>
    <row r="54" spans="2:3" x14ac:dyDescent="0.3">
      <c r="B54" s="8">
        <v>181</v>
      </c>
      <c r="C54" s="8">
        <v>225</v>
      </c>
    </row>
    <row r="55" spans="2:3" x14ac:dyDescent="0.3">
      <c r="B55" s="8">
        <v>157</v>
      </c>
      <c r="C55" s="8">
        <v>217</v>
      </c>
    </row>
    <row r="56" spans="2:3" x14ac:dyDescent="0.3">
      <c r="B56" s="8">
        <v>266</v>
      </c>
      <c r="C56" s="8">
        <v>353</v>
      </c>
    </row>
    <row r="57" spans="2:3" x14ac:dyDescent="0.3">
      <c r="B57" s="8">
        <v>268</v>
      </c>
      <c r="C57" s="8">
        <v>314</v>
      </c>
    </row>
    <row r="58" spans="2:3" x14ac:dyDescent="0.3">
      <c r="B58" s="8">
        <v>167</v>
      </c>
      <c r="C58" s="8">
        <v>247</v>
      </c>
    </row>
    <row r="59" spans="2:3" x14ac:dyDescent="0.3">
      <c r="B59" s="8">
        <v>342</v>
      </c>
      <c r="C59" s="8">
        <v>410</v>
      </c>
    </row>
    <row r="60" spans="2:3" x14ac:dyDescent="0.3">
      <c r="B60" s="8">
        <v>349</v>
      </c>
      <c r="C60" s="8">
        <v>395</v>
      </c>
    </row>
    <row r="61" spans="2:3" x14ac:dyDescent="0.3">
      <c r="B61" s="8">
        <v>340</v>
      </c>
      <c r="C61" s="8">
        <v>416</v>
      </c>
    </row>
    <row r="62" spans="2:3" x14ac:dyDescent="0.3">
      <c r="B62" s="8">
        <v>227</v>
      </c>
      <c r="C62" s="8">
        <v>342</v>
      </c>
    </row>
    <row r="63" spans="2:3" x14ac:dyDescent="0.3">
      <c r="B63" s="8">
        <v>409</v>
      </c>
      <c r="C63" s="8">
        <v>446</v>
      </c>
    </row>
    <row r="64" spans="2:3" x14ac:dyDescent="0.3">
      <c r="B64" s="8">
        <v>400</v>
      </c>
      <c r="C64" s="8">
        <v>477</v>
      </c>
    </row>
    <row r="65" spans="2:3" x14ac:dyDescent="0.3">
      <c r="B65" s="8">
        <v>374</v>
      </c>
      <c r="C65" s="8">
        <v>444</v>
      </c>
    </row>
    <row r="66" spans="2:3" x14ac:dyDescent="0.3">
      <c r="B66" s="8">
        <v>255</v>
      </c>
      <c r="C66" s="8">
        <v>351</v>
      </c>
    </row>
    <row r="67" spans="2:3" x14ac:dyDescent="0.3">
      <c r="B67" s="8">
        <v>146</v>
      </c>
      <c r="C67" s="8">
        <v>165</v>
      </c>
    </row>
    <row r="68" spans="2:3" x14ac:dyDescent="0.3">
      <c r="B68" s="8">
        <v>248</v>
      </c>
      <c r="C68" s="8">
        <v>317</v>
      </c>
    </row>
    <row r="69" spans="2:3" x14ac:dyDescent="0.3">
      <c r="B69" s="8">
        <v>198</v>
      </c>
      <c r="C69" s="8">
        <v>250</v>
      </c>
    </row>
    <row r="70" spans="2:3" x14ac:dyDescent="0.3">
      <c r="B70" s="8">
        <v>210</v>
      </c>
      <c r="C70" s="8">
        <v>217</v>
      </c>
    </row>
    <row r="71" spans="2:3" x14ac:dyDescent="0.3">
      <c r="B71" s="8">
        <v>107</v>
      </c>
      <c r="C71" s="8">
        <v>138</v>
      </c>
    </row>
    <row r="72" spans="2:3" x14ac:dyDescent="0.3">
      <c r="B72" s="8">
        <v>239</v>
      </c>
      <c r="C72" s="8">
        <v>302</v>
      </c>
    </row>
    <row r="73" spans="2:3" x14ac:dyDescent="0.3">
      <c r="B73" s="8">
        <v>287</v>
      </c>
      <c r="C73" s="8">
        <v>311</v>
      </c>
    </row>
    <row r="74" spans="2:3" x14ac:dyDescent="0.3">
      <c r="B74" s="8">
        <v>340</v>
      </c>
      <c r="C74" s="8">
        <v>373</v>
      </c>
    </row>
    <row r="75" spans="2:3" x14ac:dyDescent="0.3">
      <c r="B75" s="8">
        <v>155</v>
      </c>
      <c r="C75" s="8">
        <v>196</v>
      </c>
    </row>
    <row r="76" spans="2:3" x14ac:dyDescent="0.3">
      <c r="B76" s="8">
        <v>263</v>
      </c>
      <c r="C76" s="8">
        <v>306</v>
      </c>
    </row>
    <row r="77" spans="2:3" x14ac:dyDescent="0.3">
      <c r="B77" s="8">
        <v>265</v>
      </c>
      <c r="C77" s="8">
        <v>302</v>
      </c>
    </row>
    <row r="78" spans="2:3" x14ac:dyDescent="0.3">
      <c r="B78" s="8">
        <v>249</v>
      </c>
      <c r="C78" s="8">
        <v>278</v>
      </c>
    </row>
    <row r="79" spans="2:3" x14ac:dyDescent="0.3">
      <c r="B79" s="8">
        <v>377</v>
      </c>
      <c r="C79" s="8">
        <v>429</v>
      </c>
    </row>
    <row r="80" spans="2:3" x14ac:dyDescent="0.3">
      <c r="B80" s="8">
        <v>301</v>
      </c>
      <c r="C80" s="8">
        <v>338</v>
      </c>
    </row>
    <row r="81" spans="2:3" x14ac:dyDescent="0.3">
      <c r="B81" s="8">
        <v>242</v>
      </c>
      <c r="C81" s="8">
        <v>261</v>
      </c>
    </row>
    <row r="82" spans="2:3" x14ac:dyDescent="0.3">
      <c r="B82" s="8">
        <v>211</v>
      </c>
      <c r="C82" s="8">
        <v>256</v>
      </c>
    </row>
    <row r="83" spans="2:3" x14ac:dyDescent="0.3">
      <c r="B83" s="8">
        <v>160</v>
      </c>
      <c r="C83" s="8">
        <v>183</v>
      </c>
    </row>
    <row r="84" spans="2:3" x14ac:dyDescent="0.3">
      <c r="B84" s="8">
        <v>218</v>
      </c>
      <c r="C84" s="8">
        <v>274</v>
      </c>
    </row>
    <row r="85" spans="2:3" x14ac:dyDescent="0.3">
      <c r="B85" s="8">
        <v>133</v>
      </c>
      <c r="C85" s="8">
        <v>182</v>
      </c>
    </row>
    <row r="86" spans="2:3" x14ac:dyDescent="0.3">
      <c r="B86" s="8">
        <v>122</v>
      </c>
      <c r="C86" s="8">
        <v>183</v>
      </c>
    </row>
    <row r="87" spans="2:3" x14ac:dyDescent="0.3">
      <c r="B87" s="8">
        <v>236</v>
      </c>
      <c r="C87" s="8">
        <v>309</v>
      </c>
    </row>
    <row r="88" spans="2:3" x14ac:dyDescent="0.3">
      <c r="B88" s="8">
        <v>143</v>
      </c>
      <c r="C88" s="8">
        <v>178</v>
      </c>
    </row>
    <row r="89" spans="2:3" x14ac:dyDescent="0.3">
      <c r="B89" s="8">
        <v>354</v>
      </c>
      <c r="C89" s="8">
        <v>458</v>
      </c>
    </row>
    <row r="90" spans="2:3" x14ac:dyDescent="0.3">
      <c r="B90" s="8">
        <v>214</v>
      </c>
      <c r="C90" s="8">
        <v>234</v>
      </c>
    </row>
    <row r="91" spans="2:3" x14ac:dyDescent="0.3">
      <c r="B91" s="8">
        <v>225</v>
      </c>
      <c r="C91" s="8">
        <v>306</v>
      </c>
    </row>
    <row r="92" spans="2:3" x14ac:dyDescent="0.3">
      <c r="B92" s="8">
        <v>261</v>
      </c>
      <c r="C92" s="8">
        <v>400</v>
      </c>
    </row>
    <row r="93" spans="2:3" x14ac:dyDescent="0.3">
      <c r="B93" s="8">
        <v>277</v>
      </c>
      <c r="C93" s="8">
        <v>337</v>
      </c>
    </row>
    <row r="94" spans="2:3" x14ac:dyDescent="0.3">
      <c r="B94" s="8">
        <v>282</v>
      </c>
      <c r="C94" s="8">
        <v>325</v>
      </c>
    </row>
    <row r="95" spans="2:3" x14ac:dyDescent="0.3">
      <c r="B95" s="8">
        <v>322</v>
      </c>
      <c r="C95" s="8">
        <v>329</v>
      </c>
    </row>
    <row r="96" spans="2:3" x14ac:dyDescent="0.3">
      <c r="B96" s="8">
        <v>326</v>
      </c>
      <c r="C96" s="8">
        <v>369</v>
      </c>
    </row>
    <row r="97" spans="2:3" x14ac:dyDescent="0.3">
      <c r="B97" s="8">
        <v>421</v>
      </c>
      <c r="C97" s="8">
        <v>457</v>
      </c>
    </row>
    <row r="98" spans="2:3" x14ac:dyDescent="0.3">
      <c r="B98" s="8">
        <v>368</v>
      </c>
      <c r="C98" s="8">
        <v>421</v>
      </c>
    </row>
    <row r="99" spans="2:3" x14ac:dyDescent="0.3">
      <c r="B99" s="8">
        <v>279</v>
      </c>
      <c r="C99" s="8">
        <v>282</v>
      </c>
    </row>
    <row r="100" spans="2:3" x14ac:dyDescent="0.3">
      <c r="B100" s="8">
        <v>268</v>
      </c>
      <c r="C100" s="8">
        <v>256</v>
      </c>
    </row>
  </sheetData>
  <mergeCells count="4">
    <mergeCell ref="E5:F5"/>
    <mergeCell ref="H5:I5"/>
    <mergeCell ref="K5:L5"/>
    <mergeCell ref="N5:O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Raw Data</vt:lpstr>
      <vt:lpstr>Table of Contents</vt:lpstr>
      <vt:lpstr>Frequency Detail</vt:lpstr>
      <vt:lpstr>Categorical Distributions</vt:lpstr>
      <vt:lpstr>Numerical Distributions</vt:lpstr>
      <vt:lpstr>Histograms</vt:lpstr>
      <vt:lpstr>Frequency Distributions</vt:lpstr>
      <vt:lpstr>Mean, Median, Mode</vt:lpstr>
      <vt:lpstr>Skew</vt:lpstr>
      <vt:lpstr>Central Tendency</vt:lpstr>
      <vt:lpstr>Min, Max, Range</vt:lpstr>
      <vt:lpstr>Quartiles &amp; IQR</vt:lpstr>
      <vt:lpstr>Box &amp; Whisker</vt:lpstr>
      <vt:lpstr>Variance &amp; Std Dev</vt:lpstr>
      <vt:lpstr>Coefficient of Variation</vt:lpstr>
      <vt:lpstr>Variability</vt:lpstr>
      <vt:lpstr>Normal Distribution</vt:lpstr>
      <vt:lpstr>Z-Scores</vt:lpstr>
      <vt:lpstr>Empirical Rule</vt:lpstr>
      <vt:lpstr>Normal Distributions</vt:lpstr>
      <vt:lpstr>Norm.Dist</vt:lpstr>
      <vt:lpstr>Norm.S.Dist</vt:lpstr>
      <vt:lpstr>Calculating Probabilities</vt:lpstr>
      <vt:lpstr>Normal Curve</vt:lpstr>
      <vt:lpstr>Norm.Inv</vt:lpstr>
      <vt:lpstr>Norm.S.Inv</vt:lpstr>
      <vt:lpstr>Estimating Values</vt:lpstr>
      <vt:lpstr>Margin of Error</vt:lpstr>
      <vt:lpstr>Confidence Intervals (z)</vt:lpstr>
      <vt:lpstr>T Distribution</vt:lpstr>
      <vt:lpstr>Confidence Intervals (t)</vt:lpstr>
      <vt:lpstr>Proportions</vt:lpstr>
      <vt:lpstr>Confidence Intervals (p)</vt:lpstr>
      <vt:lpstr>Dependent Samples</vt:lpstr>
      <vt:lpstr>Confidence Intervals (d)</vt:lpstr>
      <vt:lpstr>Independent Samples</vt:lpstr>
      <vt:lpstr>Confidence Intervals (x1-x2)</vt:lpstr>
      <vt:lpstr>Confidence Intervals (p1-p2)</vt:lpstr>
      <vt:lpstr>P-Value</vt:lpstr>
      <vt:lpstr>Hypothesis Tests (Two Tail)</vt:lpstr>
      <vt:lpstr>One Tail Hypothesis Test</vt:lpstr>
      <vt:lpstr>Hypothesis Tests (p)</vt:lpstr>
      <vt:lpstr>Hypothesis Tests (d)</vt:lpstr>
      <vt:lpstr>Hypothesis Tests (x1-x2)</vt:lpstr>
      <vt:lpstr>Scatterplots</vt:lpstr>
      <vt:lpstr>Correlation</vt:lpstr>
      <vt:lpstr>Linear Relationships</vt:lpstr>
      <vt:lpstr>Linear Regression Prediction</vt:lpstr>
      <vt:lpstr>Linear Regression Model</vt:lpstr>
      <vt:lpstr>R-Squared</vt:lpstr>
      <vt:lpstr>Standard Error</vt:lpstr>
      <vt:lpstr>Hypothesis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Samad Mirza</cp:lastModifiedBy>
  <dcterms:created xsi:type="dcterms:W3CDTF">2022-08-25T18:47:42Z</dcterms:created>
  <dcterms:modified xsi:type="dcterms:W3CDTF">2026-04-03T20:51:29Z</dcterms:modified>
</cp:coreProperties>
</file>